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<sst xmlns="http://schemas.openxmlformats.org/spreadsheetml/2006/main" count="304" uniqueCount="289">
  <si>
    <t xml:space="preserve">CS13 · Lộ trình sản phẩm AI — File thực hành · Đề 3 · RaViện</t>
  </si>
  <si>
    <t xml:space="preserve">AI in Action · Track 1 · Khóa 4. FILE LÀM BÀI CỦA NHÓM · Đề 3 · RaViện.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</si>
  <si>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</si>
  <si>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</si>
  <si>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3.</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</si>
  <si>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</si>
  <si>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</si>
  <si>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</si>
  <si>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</si>
  <si>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</si>
  <si>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</si>
  <si>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3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</si>
  <si>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</si>
  <si>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</si>
  <si>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</si>
  <si>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</si>
  <si>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</si>
  <si>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</si>
  <si>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</si>
  <si>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Có</t>
  </si>
  <si>
    <t xml:space="preserve">Đã điền sẵn ở trang 2, dòng 12–20: chi phí mỗi việc, biên lợi nhuận, điều kiện dừng</t>
  </si>
  <si>
    <t xml:space="preserve">Đọc để hiểu; không cần chép</t>
  </si>
  <si>
    <t xml:space="preserve">Nguồn: CS13_HoSoTinhHuong.pdf, tr.6–7, Đề 3. Giữ nguyên 9 số liệu kinh tế. Ngưỡng mới, điểm ưu tiên và ngân sách là đề xuất, chưa phải actual.</t>
  </si>
  <si>
    <t xml:space="preserve">Bối cảnh, sản phẩm, "1 việc" là gì</t>
  </si>
  <si>
    <t xml:space="preserve">Giả thuyết và chỉ số ở trang 1</t>
  </si>
  <si>
    <t xml:space="preserve">Viết giả thuyết theo đúng "1 việc" của đề</t>
  </si>
  <si>
    <t xml:space="preserve">RaViện cho bác sĩ khoa nội. 1 việc = 1 bản nháp cho 1 người bệnh. Bác sĩ bệnh viện luôn đọc và ký 100%.</t>
  </si>
  <si>
    <t xml:space="preserve">6 việc gợi ý</t>
  </si>
  <si>
    <t xml:space="preserve">Trang 1, cột B–C; nhóm được thêm việc của mình</t>
  </si>
  <si>
    <t xml:space="preserve">Giữ, bỏ hay đổi thứ tự đều phải ghi lý do ở cột Q</t>
  </si>
  <si>
    <t xml:space="preserve">Giữ 6 việc gợi ý. Ưu tiên đối chiếu thuốc và phát hiện mâu thuẫn trước mở rộng soạn nháp. Chờ chuyển khoa, mua/tích hợp mã hóa có sẵn.</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</si>
  <si>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</si>
  <si>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</si>
  <si>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</si>
  <si>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Bộ 40 ca: đạt 96,6%, 1 lỗi insulin, 0 tầng tụt, kappa 0,90. Chưa phát hành. Thêm 5 ca insulin, sửa và chạy lại cả 45 ca.</t>
  </si>
  <si>
    <t xml:space="preserve">Chuyên gia và số giờ của họ</t>
  </si>
  <si>
    <t xml:space="preserve">Dòng "Điều kiện cần" ở trang 3; ô "Cần gì" ở trang 5</t>
  </si>
  <si>
    <t xml:space="preserve">Dẫn đúng số giờ trong hồ sơ</t>
  </si>
  <si>
    <t xml:space="preserve">BS. Phương 18 năm, DS. Hải 7 năm. Vòng 40 ca tốn 20,3 giờ tổng. Đề xuất đặt 24 giờ chuyên gia cho 45 ca. Hồ sơ chưa cho giờ rảnh từng người.</t>
  </si>
  <si>
    <t xml:space="preserve">Gợi ý về người duyệt và mức tự động</t>
  </si>
  <si>
    <t xml:space="preserve">Trang 2, cột H và I</t>
  </si>
  <si>
    <t xml:space="preserve">Đề 3: bác sĩ của bệnh viện không tính vào chi phí</t>
  </si>
  <si>
    <t xml:space="preserve">Người của mình = dược sĩ công ty kiểm phần thuốc (3 phút, 150.000đ/giờ). Bác sĩ bệnh viện không tính vào chi phí này.</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</si>
  <si>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</si>
  <si>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</si>
  <si>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</si>
  <si>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</si>
  <si>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</si>
  <si>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</si>
  <si>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</si>
  <si>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</si>
  <si>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</si>
  <si>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</si>
  <si>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</si>
  <si>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</si>
  <si>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</si>
  <si>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</si>
  <si>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</si>
  <si>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</si>
  <si>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</si>
  <si>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</si>
  <si>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</si>
  <si>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</si>
  <si>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</si>
  <si>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Soạn nháp diễn biến và chẩn đoán từ hồ sơ</t>
  </si>
  <si>
    <t xml:space="preserve">Bác sĩ bớt 2/3 thời gian viết tóm tắt</t>
  </si>
  <si>
    <t xml:space="preserve">Ta tin rằng soạn nháp có dẫn nguồn cho bác sĩ nội khoa sẽ giảm 2/3 thời gian hoàn tất bản tóm tắt trong 90 ngày thử nghiệm.</t>
  </si>
  <si>
    <t xml:space="preserve">Ngày 90: trung vị thời gian đọc/sửa/ký giảm ≥66,7% trên 100 ca so với tự viết cùng độ khó. Tỷ lệ sửa nhiều ≤30% trên ≥300 ca.</t>
  </si>
  <si>
    <t xml:space="preserve">Tự làm</t>
  </si>
  <si>
    <t xml:space="preserve">Dữ liệu nội khoa đã có, eval còn lỗi thuốc. Chỉ thử nghiệm sau cổng 45 ca. Mô hình nền dễ soạn nháp nhưng thiếu tích hợp và truy vết bệnh viện.</t>
  </si>
  <si>
    <t xml:space="preserve">Đối chiếu thuốc ra viện với y lệnh cuối</t>
  </si>
  <si>
    <t xml:space="preserve">Không sai thuốc khi ra viện</t>
  </si>
  <si>
    <t xml:space="preserve">Ta tin rằng đối chiếu có cấu trúc tên thuốc, liều và thời điểm với y lệnh cuối sẽ chặn lỗi insulin trước khi bác sĩ ký.</t>
  </si>
  <si>
    <t xml:space="preserve">Ngày 30: 0 lỗi nghiêm trọng/45 ca (40 cũ + 5 insulin). Trước Mức 2: 0 lỗi thuốc/600 ca giữ kín có chuyên gia xác nhận.</t>
  </si>
  <si>
    <t xml:space="preserve">Ưu tiên đầu vì đã có 1 lỗi nghiêm trọng và cổng phát hành đang đóng. Eval thuốc có tiêu chí rõ, cần bổ sung hồi quy insulin.</t>
  </si>
  <si>
    <t xml:space="preserve">Đánh dấu hồ sơ mâu thuẫn cho bác sĩ</t>
  </si>
  <si>
    <t xml:space="preserve">Ca khó không bị viết như ca thường</t>
  </si>
  <si>
    <t xml:space="preserve">Ta tin rằng gắn cờ nguồn mâu thuẫn và chặn trường thiếu sẽ giúp bác sĩ nhận ra ca nguy hiểm trước khi dùng bản nháp.</t>
  </si>
  <si>
    <t xml:space="preserve">Ngày 60: phát hiện ≥95% trên 100 ca mâu thuẫn gán nhãn. 0 bỏ sót mâu thuẫn thuốc trong tập này. Cờ thừa ≤20% trên 100 ca thường.</t>
  </si>
  <si>
    <t xml:space="preserve">Đứng sau đối chiếu thuốc vì thiếu nhãn mâu thuẫn. Tách ca nguy hiểm khỏi luồng tự xử lý, không ép giảm duyệt để đạt biên.</t>
  </si>
  <si>
    <t xml:space="preserve">Lời dặn dễ hiểu cho người bệnh</t>
  </si>
  <si>
    <t xml:space="preserve">Người bệnh làm đúng lời dặn</t>
  </si>
  <si>
    <t xml:space="preserve">Ta tin rằng viết lại lời dặn đã được bác sĩ duyệt bằng ngôn ngữ dễ hiểu sẽ giúp người bệnh nhắc lại đúng hướng dẫn.</t>
  </si>
  <si>
    <t xml:space="preserve">Sau cổng Mức 1: ≥80% trong 50 người tham gia mô phỏng nhắc lại đúng 3 ý chính. 0 thay đổi nội dung thuốc/100 bản bác sĩ kiểm.</t>
  </si>
  <si>
    <t xml:space="preserve">Thử nhỏ ở Tiếp theo, luôn dùng lời dặn đã duyệt. Rủi ro bị nuốt cao vì mô hình phổ thông viết lại tốt. Giá trị riêng là giữ nguyên ý và nguồn.</t>
  </si>
  <si>
    <t xml:space="preserve">Tóm tắt hồ sơ khi chuyển khoa</t>
  </si>
  <si>
    <t xml:space="preserve">Khoa nhận nắm ca nhanh hơn</t>
  </si>
  <si>
    <t xml:space="preserve">Ta tin rằng tóm tắt chuyển khoa theo cấu trúc sẽ giảm thời gian đọc hồ sơ của khoa nhận sau khi có bộ đề riêng.</t>
  </si>
  <si>
    <t xml:space="preserve">Chỉ xem lại sau tháng 6 nếu có ≥100 ca chuyển khoa gán nhãn. Thử 50 ca đạt giảm ≥30% thời gian tìm thông tin và 0 lỗi thuốc.</t>
  </si>
  <si>
    <t xml:space="preserve">Chờ</t>
  </si>
  <si>
    <t xml:space="preserve">Chưa có bộ đề chuyển khoa theo hồ sơ. Xem lại ngày 180 khi nội khoa đã qua cổng và có nguồn lực dữ liệu.</t>
  </si>
  <si>
    <t xml:space="preserve">Mã hoá bệnh cho thanh toán bảo hiểm</t>
  </si>
  <si>
    <t xml:space="preserve">Bớt giờ của phòng kế hoạch</t>
  </si>
  <si>
    <t xml:space="preserve">Ta tin rằng tích hợp phần mềm mã hóa đang có của bệnh viện sẽ giảm giờ nhập lại mà không xây mô-đun AI mới.</t>
  </si>
  <si>
    <t xml:space="preserve">Ngày 90 chỉ quyết định tích hợp nếu thử 50 hồ sơ đạt ≥95% mã khớp người kiểm và giảm ≥30% thời gian nhập lại.</t>
  </si>
  <si>
    <t xml:space="preserve">Mua</t>
  </si>
  <si>
    <t xml:space="preserve">Bệnh viện đã có phần mềm chuyên dụng. Mua quyền kết nối/tích hợp khi cần, tránh xây lại. Xếp sau an toàn dù điểm có thể cao hơn việc chờ dữ liệu.</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</si>
  <si>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</si>
  <si>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</si>
  <si>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</si>
  <si>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</si>
  <si>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</si>
  <si>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</si>
  <si>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</si>
  <si>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</si>
  <si>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</si>
  <si>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</si>
  <si>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</si>
  <si>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</si>
  <si>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</si>
  <si>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</si>
  <si>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</si>
  <si>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</si>
  <si>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AI soạn nháp trong môi trường shadow, chưa phát hành. Chặn thiếu nguồn thuốc.</t>
  </si>
  <si>
    <t xml:space="preserve">DS kiểm 100% thuốc. Bác sĩ so sánh bản nháp với hồ sơ, tự hoàn tất và ký.</t>
  </si>
  <si>
    <t xml:space="preserve">Đang chưa phát hành do 1 lỗi insulin. Phải qua cổng Mức 1 trước pilot.</t>
  </si>
  <si>
    <t xml:space="preserve">45 ca khử định danh, y lệnh có thời điểm, phân quyền, log phiên bản, chặn gửi khi chưa ký.</t>
  </si>
  <si>
    <t xml:space="preserve">Ngày 1–30</t>
  </si>
  <si>
    <t xml:space="preserve">Người của mình</t>
  </si>
  <si>
    <t xml:space="preserve">Hỗ trợ có duyệt</t>
  </si>
  <si>
    <t xml:space="preserve">AI soạn nháp nội khoa và đánh dấu mâu thuẫn, không tự gửi.</t>
  </si>
  <si>
    <t xml:space="preserve">DS công ty kiểm 100% phần thuốc. Bác sĩ bệnh viện đọc/sửa/ký 100% bản nháp.</t>
  </si>
  <si>
    <t xml:space="preserve">Sửa lỗi insulin, thêm 5 ca và chạy lại đủ 45 ca: đạt quy về thực tế ≥95%, 0 lỗi nghiêm trọng, 0 tầng tụt, kappa ≥0,8. BS. Phương và DS. Hải ký xác nhận. Chạy shadow 2 tuần trước pilot, 0 lỗi thuốc sau duyệt.</t>
  </si>
  <si>
    <t xml:space="preserve">Bộ 45 ca, trace tới y lệnh cuối, quy trình sự cố và rollback. Chốt 24 giờ chuyên gia (đề xuất), cơ sở sử dụng dữ liệu, lưu trữ nội bộ.</t>
  </si>
  <si>
    <t xml:space="preserve">Ngày 31–90 nếu qua cổng</t>
  </si>
  <si>
    <t xml:space="preserve">Tự động một phần</t>
  </si>
  <si>
    <t xml:space="preserve">AI soạn nháp ca thường đã đủ nguồn, chuyển ca nguy hiểm/mâu thuẫn cho người.</t>
  </si>
  <si>
    <t xml:space="preserve">Dược sĩ kiểm toàn bộ cờ + mẫu ngẫu nhiên, tổng dự kiến 10%. Bác sĩ vẫn đọc/ký 100%. Nếu cờ vượt kế hoạch: duyệt đầy đủ và tính lại giá.</t>
  </si>
  <si>
    <t xml:space="preserve">Chỉ xét khi Mức 1 đạt. 0 lỗi thuốc trên ≥600 ca giữ kín do DS. Hải đối chiếu (3/n ≈0,5%, không chứng minh an toàn tuyệt đối). ≥95% đạt trên bộ 45 ca, 0 tầng tụt. Pilot 10% ca thường trong 2 tuần: sửa nhiều ≤30%, tổng ca cần dược sĩ ≤10%. BS. Phương + DS. Hải duyệt.</t>
  </si>
  <si>
    <t xml:space="preserve">Bộ giữ kín mới 600 ca, tối thiểu 30 giờ kiểm thuốc ở giả định 3 phút/ca. Audit, rollback, version pinning. Chỉ dùng phạm vi nội khoa đã kiểm chứng.</t>
  </si>
  <si>
    <t xml:space="preserve">Tháng 3–6, ngày 90 quyết định</t>
  </si>
  <si>
    <t xml:space="preserve">Không làm: tự gửi</t>
  </si>
  <si>
    <t xml:space="preserve">Không làm mức tự gửi cho người bệnh.</t>
  </si>
  <si>
    <t xml:space="preserve">Bác sĩ luôn đọc và ký 100%. Giữ kiểm thuốc như Mức 2 nếu cổng đạt.</t>
  </si>
  <si>
    <t xml:space="preserve">Không làm Mức 3. 0 bản nháp được gửi khi thiếu chữ ký bác sĩ.</t>
  </si>
  <si>
    <t xml:space="preserve">Phân quyền gửi và chữ ký bắt buộc, audit mọi lần xuất.</t>
  </si>
  <si>
    <t xml:space="preserve">Không cam kết</t>
  </si>
  <si>
    <t xml:space="preserve">Không áp dụng</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</si>
  <si>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</si>
  <si>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</si>
  <si>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</si>
  <si>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</si>
  <si>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</si>
  <si>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</si>
  <si>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</si>
  <si>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</si>
  <si>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</si>
  <si>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</si>
  <si>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</si>
  <si>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</si>
  <si>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</si>
  <si>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</si>
  <si>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Tỷ lệ bản nháp bác sĩ phải sửa nhiều: quá 30% thì bác sĩ bỏ dùng</t>
  </si>
  <si>
    <t xml:space="preserve">dòng 7</t>
  </si>
  <si>
    <t xml:space="preserve">Điều kiện dừng đã chọn (theo đề)</t>
  </si>
  <si>
    <t xml:space="preserve">Hết tháng 3 thử nghiệm: bác sĩ phải sửa nhiều trên 30% bản nháp, hoặc có 1 lỗi thuốc lọt đến người bệnh, THÌ dừng, không mở sang khoa khác</t>
  </si>
  <si>
    <t xml:space="preserve">dòng 8</t>
  </si>
  <si>
    <t xml:space="preserve">Kịch bản xấu hết tiền ở tháng</t>
  </si>
  <si>
    <t xml:space="preserve">dòng 9</t>
  </si>
  <si>
    <t xml:space="preserve">Ghi chú: bác sĩ của bệnh viện luôn đọc và ký, không tính vào chi phí của mình. Người duyệt của mình là dược sĩ kiểm tra phần thuốc. Mức 3 có thể ghi "Không làm".</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</si>
  <si>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</si>
  <si>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</si>
  <si>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</si>
  <si>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</si>
  <si>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</si>
  <si>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</si>
  <si>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</si>
  <si>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Đối chiếu thuốc (2), cờ mâu thuẫn (3), soạn nháp (1). Sửa lỗi insulin trước pilot.</t>
  </si>
  <si>
    <t xml:space="preserve">Thử Mức 2 trong nội khoa và lời dặn (4). Tích hợp mã hóa có sẵn (6) nếu đáng tiền.</t>
  </si>
  <si>
    <t xml:space="preserve">Khám phá chuyển khoa (5) sau khi có bộ đề riêng. Giữ bác sĩ ký 100%.</t>
  </si>
  <si>
    <t xml:space="preserve">Giả thuyết</t>
  </si>
  <si>
    <t xml:space="preserve">Soạn nháp có kiểm thuốc giúp bác sĩ giảm 2/3 thời gian mà không lọt lỗi thuốc.</t>
  </si>
  <si>
    <t xml:space="preserve">Giảm tỷ lệ dược sĩ phải duyệt còn 10% khi chất lượng không tụt.</t>
  </si>
  <si>
    <t xml:space="preserve">Mở thêm use case chỉ khi có dữ liệu và khả năng đo an toàn riêng.</t>
  </si>
  <si>
    <t xml:space="preserve">Ngày 90: thời gian hoàn tất giảm ≥66,7%/100 ca. Sửa nhiều ≤30%/≥300 ca pilot. Lỗi thuốc lọt người bệnh =0.</t>
  </si>
  <si>
    <t xml:space="preserve">Chi phí ≤5.000đ/việc, biên ≥60%. Duyệt dự kiến 10%, 0 lỗi thuốc/600 ca giữ kín.</t>
  </si>
  <si>
    <t xml:space="preserve">≥100 ca chuyển khoa gán nhãn trước khi xây. Thử 50 ca: giảm ≥30% thời gian tra cứu.</t>
  </si>
  <si>
    <t xml:space="preserve">Mức tự động (trang 2)</t>
  </si>
  <si>
    <t xml:space="preserve">Mức 0 trước cổng. Mức 1 pilot có dược sĩ 100% và bác sĩ ký 100%.</t>
  </si>
  <si>
    <t xml:space="preserve">Mức 2 có điều kiện. Dược sĩ dự kiến 10%, bác sĩ đọc/ký 100%.</t>
  </si>
  <si>
    <t xml:space="preserve">Giữ Mức 2, không làm Mức 3 tự gửi.</t>
  </si>
  <si>
    <t xml:space="preserve">Cổng đánh giá</t>
  </si>
  <si>
    <t xml:space="preserve">Bộ đề chuyển khoa độc lập có đủ 4 tầng. BS khoa nhận xác nhận 0 lỗi nghiêm trọng trước mọi pilot. Chưa đủ dữ liệu thì tiếp tục chờ.</t>
  </si>
  <si>
    <t xml:space="preserve">Điều kiện cần: dữ liệu / hạ tầng / tuân thủ</t>
  </si>
  <si>
    <t xml:space="preserve">45 ca khử định danh, y lệnh có thời điểm, audit và rollback. Đặt 24 giờ chuyên gia cho vòng sửa (ước từ 20,3 giờ/40 ca). Pháp chế bệnh viện xác nhận quyền dùng/lưu dữ liệu trước pilot.</t>
  </si>
  <si>
    <t xml:space="preserve">Thu 600 ca giữ kín không dùng để chỉnh prompt. Dự kiến 30 giờ DS kiểm thuốc. Chốt phân quyền, giới hạn ca, theo dõi cờ và lỗi hằng ngày.</t>
  </si>
  <si>
    <t xml:space="preserve">Chỉ có điều kiện khám phá, không hứa ngày giao. Có bộ đề mới, khoa nhận, ngân sách và phê duyệt dữ liệu.</t>
  </si>
  <si>
    <t xml:space="preserve">Căn cứ kinh tế (số liệu của đề và trang 2)</t>
  </si>
  <si>
    <t xml:space="preserve">Nguồn đề: 2.968+1.200+100%×3×150.000/60=11.668đ/việc. Biên 6,66% ở 1.200 việc, 15 triệu/khoa/tháng. Pilot 3 tháng tốn tối đa ≈42 triệu biến phí. Ngân sách trần đề xuất 100 triệu. Kịch bản xấu hết tiền tháng 9.</t>
  </si>
  <si>
    <t xml:space="preserve">Duyệt 10%: chi phí 4.918đ, biên 60,66%. Để biên ≥60%, tỷ lệ duyệt tối đa 11,09% ở giá hiện tại. Nếu cần duyệt nhiều, giữ an toàn và tăng giá/giảm chi phí trước mở rộng.</t>
  </si>
  <si>
    <t xml:space="preserve">Chỉ đầu tư nếu có hợp đồng trả tiền và ngân sách vượt tháng 9. Không xây lại mã hóa đã có sẵn. Không giả định ký hợp đồng chắc chắn.</t>
  </si>
  <si>
    <t xml:space="preserve">Điều kiện dừng / đổi hướng</t>
  </si>
  <si>
    <t xml:space="preserve">NẾU ngày 30 còn ≥1 lỗi nghiêm trọng/45 ca THÌ giữ shadow và sửa. NẾU ngày 90 của pilot sửa nhiều &gt;30%/≥300 ca THÌ dừng mở khoa. NẾU có 1 lỗi thuốc lọt đến người bệnh THÌ dừng ngay, không chờ ngày 90.</t>
  </si>
  <si>
    <t xml:space="preserve">NẾU ngày 90 chưa qua cổng 600 ca THÌ giữ Mức 1. Nếu duyệt &gt;11,09% thì không mở rộng theo giá hiện tại. NẾU tháng 6 chưa có hợp đồng trả tiền THÌ dừng mở rộng, bảo toàn runway tháng 9.</t>
  </si>
  <si>
    <t xml:space="preserve">NẾU ngày 180 chưa có ≥100 ca gán nhãn THÌ tiếp tục chờ chuyển khoa. NẾU xuất hiện 1 lỗi thuốc lọt người bệnh THÌ tắt luồng ngay và điều tra.</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</si>
  <si>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</si>
  <si>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</si>
  <si>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</si>
  <si>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</si>
  <si>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</si>
  <si>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</si>
  <si>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 của dự án</t>
  </si>
  <si>
    <t xml:space="preserve">45 ca: ≥95% đạt, 0 lỗi nghiêm trọng, 0 tầng tụt, kappa ≥0,8. Có lịch chuyên gia và kết quả shadow.</t>
  </si>
  <si>
    <t xml:space="preserve">Qua đủ cổng thì mở pilot Mức 1. Còn lỗi thì sửa và giữ shadow.</t>
  </si>
  <si>
    <t xml:space="preserve">BS. Phương + DS. Hải xác nhận, PM quyết nguồn lực.</t>
  </si>
  <si>
    <t xml:space="preserve">Ngày 60 của dự án</t>
  </si>
  <si>
    <t xml:space="preserve">Pilot: lỗi thuốc lọt bệnh nhân, tỷ lệ sửa nhiều, thời gian hoàn tất. Theo dõi 100 ca mâu thuẫn và cờ thừa.</t>
  </si>
  <si>
    <t xml:space="preserve">Sửa hoặc đi tiếp Mức 1. Chặn ngay khi có 1 lỗi thuốc lọt. Nếu thiếu mẫu, chưa tăng mức.</t>
  </si>
  <si>
    <t xml:space="preserve">Trưởng khoa quyết an toàn, PM + kỹ sư sửa.</t>
  </si>
  <si>
    <t xml:space="preserve">Ngày 90 của dự án</t>
  </si>
  <si>
    <t xml:space="preserve">Cổng Mức 2 600 ca, chi phí/việc và biên. Mức giảm thời gian trên 100 ca.</t>
  </si>
  <si>
    <t xml:space="preserve">Qua đủ cổng thì pilot Mức 2 có giới hạn. Chưa đủ thì giữ Mức 1. Mốc dừng sửa nhiều &gt;30% tính riêng ngày 90 từ lúc bắt đầu pilot.</t>
  </si>
  <si>
    <t xml:space="preserve">BS. Phương + DS. Hải + PM, lãnh đạo duyệt ngân sách.</t>
  </si>
  <si>
    <t xml:space="preserve">Có mô hình mới / giá đổi ≥20% / thông báo ngừng mô hình</t>
  </si>
  <si>
    <t xml:space="preserve">Chạy lại 45 ca và tập giữ kín. So chi phí, lỗi thuốc, độ tụt theo tầng, rủi ro bị nuốt.</t>
  </si>
  <si>
    <t xml:space="preserve">Trong 10 ngày: eval, tính chi phí, xem việc bị nuốt, chấm lại ưu tiên, báo thay đổi. Chỉ đổi model sau cổng và canary 2 tuần.</t>
  </si>
  <si>
    <t xml:space="preserve">Kỹ sư chạy eval, PM tính kinh tế, chuyên gia ký cổng.</t>
  </si>
  <si>
    <t xml:space="preserve">Nền tảng/đối thủ có tính năng tương tự</t>
  </si>
  <si>
    <t xml:space="preserve">Khả năng giữ nguồn thuốc, tích hợp bệnh viện, an toàn và tổng chi phí.</t>
  </si>
  <si>
    <t xml:space="preserve">Trong 14 ngày so mua/tự làm. Mua chức năng phổ thông nếu rẻ hơn và qua cổng, giữ năng lực đánh giá và workflow ký.</t>
  </si>
  <si>
    <t xml:space="preserve">PM + kỹ sư + đầu mối bệnh viện.</t>
  </si>
  <si>
    <t xml:space="preserve">Quy định hoặc yêu cầu bệnh viện thay đổi</t>
  </si>
  <si>
    <t xml:space="preserve">Quyền xử lý dữ liệu, thông báo AI, quyền truy cập, lưu trữ và trách nhiệm ký.</t>
  </si>
  <si>
    <t xml:space="preserve">Pháp chế đọc văn bản gốc, đánh giá khoảng trống trước mở rộng. Tạm dừng phần bị ảnh hưởng nếu chưa đáp ứng.</t>
  </si>
  <si>
    <t xml:space="preserve">Pháp chế/DPO bệnh viện + PM.</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</si>
  <si>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</si>
  <si>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</si>
  <si>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</si>
  <si>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</si>
  <si>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</si>
  <si>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</si>
  <si>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Đề xuất pilot RaViện cho khoa nội sau khi sửa lỗi insulin, mục tiêu giảm 2/3 thời gian hoàn tất tóm tắt và quyết định mở rộng ngày 90 khi đạt cổng an toàn.</t>
  </si>
  <si>
    <t xml:space="preserve">3 việc chính</t>
  </si>
  <si>
    <t xml:space="preserve">Bây giờ: sửa insulin, thêm 5 ca, chạy lại 45 ca. Tiếp theo: giảm duyệt dược sĩ còn 10% sau cổng 600 ca. Sau này: xem xét chuyển khoa khi đủ dữ liệu, bác sĩ luôn ký 100%.</t>
  </si>
  <si>
    <t xml:space="preserve">Cần gì (người, tiền, dữ liệu)</t>
  </si>
  <si>
    <t xml:space="preserve">Đề xuất trần 100 triệu/90 ngày: 42 triệu biến phí, 50 triệu kỹ thuật, 8 triệu chuyên gia. Cần 1 kỹ sư, 0,5 PM, 24 giờ BS/DS cho vòng sửa và dữ liệu khử định danh.</t>
  </si>
  <si>
    <t xml:space="preserve">Rủi ro lớn nhất &amp; cách xử lý</t>
  </si>
  <si>
    <t xml:space="preserve">Lỗi thuốc là rủi ro lớn nhất. Chỉ pilot sau 0 lỗi nghiêm trọng/45 ca. Bác sĩ ký 100%. Một lỗi thuốc lọt người bệnh: dừng ngay. Mức 2 cần 0 lỗi/600 ca giữ kín.</t>
  </si>
  <si>
    <t xml:space="preserve">Khi nào xem lại</t>
  </si>
  <si>
    <t xml:space="preserve">Rà soát ngày 30/60/90 của dự án, khi model hoặc giá đổi. Ngày 90 pilot: sửa nhiều &gt;30% thì dừng mở khoa. Tháng 6 chưa có hợp đồng trả tiền: dừng mở rộng, tránh hết tiền tháng 9.</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</si>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</sst>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9">
    <numFmt numFmtId="164" formatCode="General"/>
    <numFmt numFmtId="165" formatCode="_(* #,##0.00_);_(* \(#,##0.00\);_(* \-??_);_(@_)"/>
    <numFmt numFmtId="166" formatCode="_(* #,##0_);_(* \(#,##0\);_(* \-_);_(@_)"/>
    <numFmt numFmtId="167" formatCode="_(\$* #,##0.00_);_(\$* \(#,##0.00\);_(\$* \-??_);_(@_)"/>
    <numFmt numFmtId="168" formatCode="_(\$* #,##0_);_(\$* \(#,##0\);_(\$* \-_);_(@_)"/>
    <numFmt numFmtId="169" formatCode="0%"/>
    <numFmt numFmtId="170" formatCode="#,##0;[RED]\-#,##0"/>
    <numFmt numFmtId="171" formatCode="0.0"/>
    <numFmt numFmtId="172" formatCode="0"/>
  </numFmts>
  <fonts count="13">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2"/>
      <charset val="1"/>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true" applyProtection="tru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24" applyFont="true" applyBorder="false" applyAlignment="true" applyProtection="true">
      <alignment horizontal="general" vertical="bottom" textRotation="0" wrapText="false" indent="0" shrinkToFit="false"/>
      <protection locked="true" hidden="false"/>
    </xf>
    <xf numFmtId="164" fontId="5" fillId="2" borderId="0" xfId="24" applyFont="true" applyBorder="false" applyAlignment="true" applyProtection="true">
      <alignment horizontal="general" vertical="bottom" textRotation="0" wrapText="false" indent="0" shrinkToFit="false"/>
      <protection locked="true" hidden="false"/>
    </xf>
    <xf numFmtId="164" fontId="5" fillId="3" borderId="0" xfId="24" applyFont="true" applyBorder="false" applyAlignment="true" applyProtection="true">
      <alignment horizontal="general" vertical="bottom" textRotation="0" wrapText="false" indent="0" shrinkToFit="false"/>
      <protection locked="true" hidden="false"/>
    </xf>
    <xf numFmtId="164" fontId="8" fillId="4" borderId="0" xfId="24" applyFont="true" applyBorder="false" applyAlignment="true" applyProtection="true">
      <alignment horizontal="general" vertical="bottom" textRotation="0" wrapText="true" indent="0" shrinkToFit="false"/>
      <protection locked="true" hidden="false"/>
    </xf>
    <xf numFmtId="164" fontId="5" fillId="0" borderId="1" xfId="24" applyFont="true" applyBorder="true" applyAlignment="true" applyProtection="true">
      <alignment horizontal="general" vertical="top" textRotation="0" wrapText="true" indent="0" shrinkToFit="false"/>
      <protection locked="true" hidden="false"/>
    </xf>
    <xf numFmtId="164" fontId="5" fillId="2" borderId="1" xfId="24" applyFont="true" applyBorder="true" applyAlignment="true" applyProtection="false">
      <alignment horizontal="general" vertical="top" textRotation="0" wrapText="true" indent="0" shrinkToFit="false"/>
      <protection locked="true" hidden="false"/>
    </xf>
    <xf numFmtId="164" fontId="5" fillId="0" borderId="1" xfId="24" applyFont="true" applyBorder="true" applyAlignment="true" applyProtection="false">
      <alignment horizontal="general" vertical="top" textRotation="0" wrapText="true" indent="0" shrinkToFit="false"/>
      <protection locked="true" hidden="false"/>
    </xf>
    <xf numFmtId="164" fontId="9" fillId="0" borderId="0" xfId="24" applyFont="true" applyBorder="false" applyAlignment="true" applyProtection="true">
      <alignment horizontal="general" vertical="bottom" textRotation="0" wrapText="false" indent="0" shrinkToFit="false"/>
      <protection locked="true" hidden="false"/>
    </xf>
    <xf numFmtId="164" fontId="8" fillId="4" borderId="0" xfId="24" applyFont="true" applyBorder="false" applyAlignment="true" applyProtection="true">
      <alignment horizontal="general" vertical="center" textRotation="0" wrapText="true" indent="0" shrinkToFit="false"/>
      <protection locked="true" hidden="false"/>
    </xf>
    <xf numFmtId="164" fontId="5" fillId="0" borderId="1" xfId="24" applyFont="false" applyBorder="true" applyAlignment="true" applyProtection="true">
      <alignment horizontal="general" vertical="bottom" textRotation="0" wrapText="false" indent="0" shrinkToFit="false"/>
      <protection locked="true" hidden="false"/>
    </xf>
    <xf numFmtId="164" fontId="5" fillId="3" borderId="1" xfId="24" applyFont="true" applyBorder="true" applyAlignment="true" applyProtection="false">
      <alignment horizontal="general" vertical="top" textRotation="0" wrapText="true" indent="0" shrinkToFit="false"/>
      <protection locked="true" hidden="false"/>
    </xf>
    <xf numFmtId="164" fontId="5" fillId="3" borderId="1" xfId="24" applyFont="true" applyBorder="true" applyAlignment="true" applyProtection="false">
      <alignment horizontal="center" vertical="bottom" textRotation="0" wrapText="true" indent="0" shrinkToFit="false"/>
      <protection locked="true" hidden="false"/>
    </xf>
    <xf numFmtId="164" fontId="10" fillId="2" borderId="0" xfId="24" applyFont="true" applyBorder="true" applyAlignment="true" applyProtection="false">
      <alignment horizontal="general" vertical="bottom" textRotation="0" wrapText="true" indent="0" shrinkToFit="false"/>
      <protection locked="true" hidden="false"/>
    </xf>
    <xf numFmtId="164" fontId="5" fillId="2" borderId="1" xfId="24" applyFont="false" applyBorder="true" applyAlignment="true" applyProtection="true">
      <alignment horizontal="general" vertical="top" textRotation="0" wrapText="true" indent="0" shrinkToFit="false"/>
      <protection locked="false" hidden="false"/>
    </xf>
    <xf numFmtId="164" fontId="5" fillId="3" borderId="1" xfId="24" applyFont="false" applyBorder="true" applyAlignment="true" applyProtection="true">
      <alignment horizontal="general" vertical="top" textRotation="0" wrapText="true" indent="0" shrinkToFit="false"/>
      <protection locked="true" hidden="false"/>
    </xf>
    <xf numFmtId="164" fontId="5" fillId="3" borderId="1" xfId="24" applyFont="false" applyBorder="true" applyAlignment="true" applyProtection="true">
      <alignment horizontal="center" vertical="bottom" textRotation="0" wrapText="false" indent="0" shrinkToFit="false"/>
      <protection locked="true" hidden="false"/>
    </xf>
    <xf numFmtId="164" fontId="10" fillId="2" borderId="0" xfId="24" applyFont="true" applyBorder="false" applyAlignment="true" applyProtection="true">
      <alignment horizontal="general" vertical="bottom" textRotation="0" wrapText="false" indent="0" shrinkToFit="false"/>
      <protection locked="false" hidden="false"/>
    </xf>
    <xf numFmtId="169" fontId="10" fillId="2" borderId="0" xfId="24" applyFont="true" applyBorder="true" applyAlignment="true" applyProtection="false">
      <alignment horizontal="general" vertical="bottom" textRotation="0" wrapText="true" indent="0" shrinkToFit="false"/>
      <protection locked="true" hidden="false"/>
    </xf>
    <xf numFmtId="170" fontId="10" fillId="3" borderId="0" xfId="24" applyFont="true" applyBorder="true" applyAlignment="true" applyProtection="false">
      <alignment horizontal="general" vertical="bottom" textRotation="0" wrapText="true" indent="0" shrinkToFit="false"/>
      <protection locked="true" hidden="false"/>
    </xf>
    <xf numFmtId="169" fontId="10" fillId="3" borderId="0" xfId="24" applyFont="true" applyBorder="true" applyAlignment="true" applyProtection="false">
      <alignment horizontal="general" vertical="bottom" textRotation="0" wrapText="true" indent="0" shrinkToFit="false"/>
      <protection locked="true" hidden="false"/>
    </xf>
    <xf numFmtId="164" fontId="10" fillId="3" borderId="0" xfId="24" applyFont="true" applyBorder="true" applyAlignment="true" applyProtection="false">
      <alignment horizontal="general" vertical="bottom" textRotation="0" wrapText="true" indent="0" shrinkToFit="false"/>
      <protection locked="true" hidden="false"/>
    </xf>
    <xf numFmtId="164" fontId="5" fillId="0" borderId="0" xfId="24" applyFont="true" applyBorder="true" applyAlignment="true" applyProtection="false">
      <alignment horizontal="general" vertical="bottom" textRotation="0" wrapText="true" indent="0" shrinkToFit="false"/>
      <protection locked="true" hidden="false"/>
    </xf>
    <xf numFmtId="164" fontId="10" fillId="0" borderId="0" xfId="24" applyFont="true" applyBorder="false" applyAlignment="true" applyProtection="true">
      <alignment horizontal="general" vertical="bottom" textRotation="0" wrapText="false" indent="0" shrinkToFit="false"/>
      <protection locked="true" hidden="false"/>
    </xf>
    <xf numFmtId="170" fontId="10" fillId="2" borderId="0" xfId="24" applyFont="true" applyBorder="false" applyAlignment="true" applyProtection="true">
      <alignment horizontal="general" vertical="bottom" textRotation="0" wrapText="false" indent="0" shrinkToFit="false"/>
      <protection locked="false" hidden="false"/>
    </xf>
    <xf numFmtId="164" fontId="11" fillId="0" borderId="0" xfId="24" applyFont="true" applyBorder="false" applyAlignment="true" applyProtection="true">
      <alignment horizontal="general" vertical="bottom" textRotation="0" wrapText="false" indent="0" shrinkToFit="false"/>
      <protection locked="true" hidden="false"/>
    </xf>
    <xf numFmtId="171" fontId="10" fillId="2" borderId="0" xfId="24" applyFont="true" applyBorder="false" applyAlignment="true" applyProtection="true">
      <alignment horizontal="general" vertical="bottom" textRotation="0" wrapText="false" indent="0" shrinkToFit="false"/>
      <protection locked="false" hidden="false"/>
    </xf>
    <xf numFmtId="172" fontId="10" fillId="2" borderId="0" xfId="24" applyFont="true" applyBorder="false" applyAlignment="true" applyProtection="true">
      <alignment horizontal="general" vertical="bottom" textRotation="0" wrapText="false" indent="0" shrinkToFit="false"/>
      <protection locked="false" hidden="false"/>
    </xf>
    <xf numFmtId="164" fontId="9" fillId="0" borderId="1" xfId="24" applyFont="true" applyBorder="true" applyAlignment="true" applyProtection="false">
      <alignment horizontal="general" vertical="top" textRotation="0" wrapText="true" indent="0" shrinkToFit="false"/>
      <protection locked="true" hidden="false"/>
    </xf>
    <xf numFmtId="164" fontId="9" fillId="0" borderId="1" xfId="24" applyFont="true" applyBorder="true" applyAlignment="true" applyProtection="true">
      <alignment horizontal="general" vertical="bottom" textRotation="0" wrapText="false" indent="0" shrinkToFit="false"/>
      <protection locked="true" hidden="false"/>
    </xf>
    <xf numFmtId="164" fontId="9" fillId="0" borderId="1" xfId="24" applyFont="true" applyBorder="true" applyAlignment="true" applyProtection="false">
      <alignment horizontal="general" vertical="bottom" textRotation="0" wrapText="true" indent="0" shrinkToFit="false"/>
      <protection locked="true" hidden="false"/>
    </xf>
    <xf numFmtId="172" fontId="10" fillId="3" borderId="0" xfId="24" applyFont="true" applyBorder="true" applyAlignment="true" applyProtection="false">
      <alignment horizontal="general" vertical="bottom" textRotation="0" wrapText="true" indent="0" shrinkToFit="false"/>
      <protection locked="true" hidden="false"/>
    </xf>
    <xf numFmtId="164" fontId="5" fillId="0" borderId="0" xfId="24" applyFont="true" applyBorder="false" applyAlignment="true" applyProtection="true">
      <alignment horizontal="general" vertical="top" textRotation="0" wrapText="true" indent="0" shrinkToFit="false"/>
      <protection locked="true" hidden="false"/>
    </xf>
    <xf numFmtId="164" fontId="5" fillId="2" borderId="0" xfId="24" applyFont="false" applyBorder="false" applyAlignment="true" applyProtection="true">
      <alignment horizontal="general" vertical="bottom" textRotation="0" wrapText="false" indent="0" shrinkToFit="false"/>
      <protection locked="false" hidden="false"/>
    </xf>
    <xf numFmtId="164" fontId="12" fillId="0" borderId="0" xfId="24" applyFont="true" applyBorder="false" applyAlignment="true" applyProtection="true">
      <alignment horizontal="general" vertical="bottom" textRotation="0" wrapText="false" indent="0" shrinkToFit="false"/>
      <protection locked="true" hidden="false"/>
    </xf>
    <xf numFmtId="164" fontId="9" fillId="0" borderId="0" xfId="24" applyFont="true" applyBorder="false" applyAlignment="true" applyProtection="true">
      <alignment horizontal="general" vertical="top" textRotation="0" wrapText="true" indent="0" shrinkToFit="false"/>
      <protection locked="true" hidden="false"/>
    </xf>
    <xf numFmtId="164" fontId="10" fillId="0" borderId="0" xfId="24" applyFont="true" applyBorder="false" applyAlignment="true" applyProtection="true">
      <alignment horizontal="general"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108" hidden="false" customHeight="true" outlineLevel="0" collapsed="false">
      <c r="A5" s="7" t="s">
        <v>18</v>
      </c>
      <c r="B5" s="8" t="s">
        <v>19</v>
      </c>
      <c r="C5" s="9" t="s">
        <v>20</v>
      </c>
      <c r="D5" s="9" t="s">
        <v>21</v>
      </c>
      <c r="E5" s="8" t="s">
        <v>22</v>
      </c>
    </row>
    <row r="6" customFormat="false" ht="108" hidden="false" customHeight="true" outlineLevel="0" collapsed="false">
      <c r="A6" s="7" t="s">
        <v>23</v>
      </c>
      <c r="B6" s="8" t="s">
        <v>19</v>
      </c>
      <c r="C6" s="9" t="s">
        <v>24</v>
      </c>
      <c r="D6" s="9" t="s">
        <v>25</v>
      </c>
      <c r="E6" s="8" t="s">
        <v>26</v>
      </c>
    </row>
    <row r="7" customFormat="false" ht="108" hidden="false" customHeight="true" outlineLevel="0" collapsed="false">
      <c r="A7" s="7" t="s">
        <v>27</v>
      </c>
      <c r="B7" s="8" t="s">
        <v>19</v>
      </c>
      <c r="C7" s="9" t="s">
        <v>28</v>
      </c>
      <c r="D7" s="9" t="s">
        <v>29</v>
      </c>
      <c r="E7" s="8" t="s">
        <v>30</v>
      </c>
    </row>
    <row r="8" customFormat="false" ht="108" hidden="false" customHeight="true" outlineLevel="0" collapsed="false">
      <c r="A8" s="7" t="s">
        <v>31</v>
      </c>
      <c r="B8" s="8" t="s">
        <v>19</v>
      </c>
      <c r="C8" s="9" t="s">
        <v>32</v>
      </c>
      <c r="D8" s="9" t="s">
        <v>33</v>
      </c>
      <c r="E8" s="8" t="s">
        <v>34</v>
      </c>
    </row>
    <row r="9" customFormat="false" ht="108" hidden="false" customHeight="true" outlineLevel="0" collapsed="false">
      <c r="A9" s="7" t="s">
        <v>35</v>
      </c>
      <c r="B9" s="8" t="s">
        <v>19</v>
      </c>
      <c r="C9" s="9" t="s">
        <v>36</v>
      </c>
      <c r="D9" s="9" t="s">
        <v>37</v>
      </c>
      <c r="E9" s="8" t="s">
        <v>38</v>
      </c>
    </row>
    <row r="10" customFormat="false" ht="108" hidden="false" customHeight="true" outlineLevel="0" collapsed="false">
      <c r="A10" s="7" t="s">
        <v>39</v>
      </c>
      <c r="B10" s="8" t="s">
        <v>19</v>
      </c>
      <c r="C10" s="9" t="s">
        <v>40</v>
      </c>
      <c r="D10" s="9" t="s">
        <v>41</v>
      </c>
      <c r="E10" s="8" t="s">
        <v>42</v>
      </c>
    </row>
    <row r="12" customFormat="false" ht="15" hidden="false" customHeight="true" outlineLevel="0" collapsed="false">
      <c r="A12" s="10" t="s">
        <v>43</v>
      </c>
      <c r="B12" s="5" t="n">
        <f aca="false">COUNTIF(B5:B10,"Có")</f>
        <v>6</v>
      </c>
    </row>
    <row r="13" customFormat="false" ht="15" hidden="false" customHeight="true" outlineLevel="0" collapsed="false">
      <c r="A13" s="3" t="s">
        <v>44</v>
      </c>
    </row>
  </sheetData>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45</v>
      </c>
    </row>
    <row r="2" customFormat="false" ht="15" hidden="false" customHeight="true" outlineLevel="0" collapsed="false">
      <c r="A2" s="3" t="s">
        <v>46</v>
      </c>
    </row>
    <row r="4" customFormat="false" ht="39" hidden="false" customHeight="true" outlineLevel="0" collapsed="false">
      <c r="A4" s="11" t="s">
        <v>47</v>
      </c>
      <c r="B4" s="11" t="s">
        <v>48</v>
      </c>
      <c r="C4" s="11" t="s">
        <v>49</v>
      </c>
      <c r="D4" s="11" t="s">
        <v>50</v>
      </c>
      <c r="E4" s="11" t="s">
        <v>51</v>
      </c>
      <c r="F4" s="11" t="s">
        <v>52</v>
      </c>
      <c r="G4" s="11" t="s">
        <v>53</v>
      </c>
      <c r="H4" s="11" t="s">
        <v>54</v>
      </c>
      <c r="I4" s="11" t="s">
        <v>55</v>
      </c>
      <c r="J4" s="11" t="s">
        <v>56</v>
      </c>
      <c r="K4" s="11" t="s">
        <v>57</v>
      </c>
      <c r="L4" s="11" t="s">
        <v>58</v>
      </c>
      <c r="M4" s="11" t="s">
        <v>59</v>
      </c>
      <c r="N4" s="11" t="s">
        <v>60</v>
      </c>
      <c r="O4" s="11" t="s">
        <v>61</v>
      </c>
      <c r="P4" s="11" t="s">
        <v>62</v>
      </c>
      <c r="Q4" s="11" t="s">
        <v>63</v>
      </c>
    </row>
    <row r="5" customFormat="false" ht="240" hidden="false" customHeight="true" outlineLevel="0" collapsed="false">
      <c r="A5" s="12" t="n">
        <v>1</v>
      </c>
      <c r="B5" s="8" t="s">
        <v>64</v>
      </c>
      <c r="C5" s="8" t="s">
        <v>65</v>
      </c>
      <c r="D5" s="8" t="s">
        <v>66</v>
      </c>
      <c r="E5" s="8" t="s">
        <v>67</v>
      </c>
      <c r="F5" s="8" t="n">
        <v>5</v>
      </c>
      <c r="G5" s="8" t="n">
        <v>5</v>
      </c>
      <c r="H5" s="8" t="n">
        <v>0.8</v>
      </c>
      <c r="I5" s="8" t="n">
        <v>3</v>
      </c>
      <c r="J5" s="8" t="n">
        <v>0.8</v>
      </c>
      <c r="K5" s="8" t="n">
        <v>0.7</v>
      </c>
      <c r="L5" s="8" t="n">
        <v>0.5</v>
      </c>
      <c r="M5" s="13" t="n">
        <f aca="false">IF(COUNT(F5:L5)&lt;7,"",ROUND(F5*G5*H5/I5*(0.5+0.5*AVERAGE(J5:K5))*(1-0.5*L5),2))</f>
        <v>4.38</v>
      </c>
      <c r="N5" s="13" t="n">
        <f aca="false">IF(M5="","",1+COUNTIF($M$5:$M$14,"&gt;"&amp;M5))</f>
        <v>3</v>
      </c>
      <c r="O5" s="14" t="str">
        <f aca="false">IF(B5="","",IF(OR(D5="",E5=""),"Thiếu",IF(OR(ISNUMBER(SEARCH("0",E5)),ISNUMBER(SEARCH("1",E5)),ISNUMBER(SEARCH("2",E5)),ISNUMBER(SEARCH("3",E5)),ISNUMBER(SEARCH("4",E5)),ISNUMBER(SEARCH("5",E5)),ISNUMBER(SEARCH("6",E5)),ISNUMBER(SEARCH("7",E5)),ISNUMBER(SEARCH("8",E5)),ISNUMBER(SEARCH("9",E5))),"Có","Thiếu")))</f>
        <v>Có</v>
      </c>
      <c r="P5" s="15" t="s">
        <v>68</v>
      </c>
      <c r="Q5" s="15" t="s">
        <v>69</v>
      </c>
    </row>
    <row r="6" customFormat="false" ht="240" hidden="false" customHeight="true" outlineLevel="0" collapsed="false">
      <c r="A6" s="12" t="n">
        <v>2</v>
      </c>
      <c r="B6" s="8" t="s">
        <v>70</v>
      </c>
      <c r="C6" s="8" t="s">
        <v>71</v>
      </c>
      <c r="D6" s="8" t="s">
        <v>72</v>
      </c>
      <c r="E6" s="8" t="s">
        <v>73</v>
      </c>
      <c r="F6" s="8" t="n">
        <v>5</v>
      </c>
      <c r="G6" s="8" t="n">
        <v>5</v>
      </c>
      <c r="H6" s="8" t="n">
        <v>1</v>
      </c>
      <c r="I6" s="8" t="n">
        <v>2</v>
      </c>
      <c r="J6" s="8" t="n">
        <v>0.9</v>
      </c>
      <c r="K6" s="8" t="n">
        <v>0.8</v>
      </c>
      <c r="L6" s="8" t="n">
        <v>0.1</v>
      </c>
      <c r="M6" s="13" t="n">
        <f aca="false">IF(COUNT(F6:L6)&lt;7,"",ROUND(F6*G6*H6/I6*(0.5+0.5*AVERAGE(J6:K6))*(1-0.5*L6),2))</f>
        <v>10.98</v>
      </c>
      <c r="N6" s="13" t="n">
        <f aca="false">IF(M6="","",1+COUNTIF($M$5:$M$14,"&gt;"&amp;M6))</f>
        <v>1</v>
      </c>
      <c r="O6" s="14" t="str">
        <f aca="false">IF(B6="","",IF(OR(D6="",E6=""),"Thiếu",IF(OR(ISNUMBER(SEARCH("0",E6)),ISNUMBER(SEARCH("1",E6)),ISNUMBER(SEARCH("2",E6)),ISNUMBER(SEARCH("3",E6)),ISNUMBER(SEARCH("4",E6)),ISNUMBER(SEARCH("5",E6)),ISNUMBER(SEARCH("6",E6)),ISNUMBER(SEARCH("7",E6)),ISNUMBER(SEARCH("8",E6)),ISNUMBER(SEARCH("9",E6))),"Có","Thiếu")))</f>
        <v>Có</v>
      </c>
      <c r="P6" s="15" t="s">
        <v>68</v>
      </c>
      <c r="Q6" s="15" t="s">
        <v>74</v>
      </c>
    </row>
    <row r="7" customFormat="false" ht="240" hidden="false" customHeight="true" outlineLevel="0" collapsed="false">
      <c r="A7" s="12" t="n">
        <v>3</v>
      </c>
      <c r="B7" s="8" t="s">
        <v>75</v>
      </c>
      <c r="C7" s="8" t="s">
        <v>76</v>
      </c>
      <c r="D7" s="8" t="s">
        <v>77</v>
      </c>
      <c r="E7" s="8" t="s">
        <v>78</v>
      </c>
      <c r="F7" s="8" t="n">
        <v>5</v>
      </c>
      <c r="G7" s="8" t="n">
        <v>5</v>
      </c>
      <c r="H7" s="8" t="n">
        <v>0.8</v>
      </c>
      <c r="I7" s="8" t="n">
        <v>2</v>
      </c>
      <c r="J7" s="8" t="n">
        <v>0.7</v>
      </c>
      <c r="K7" s="8" t="n">
        <v>0.6</v>
      </c>
      <c r="L7" s="8" t="n">
        <v>0.2</v>
      </c>
      <c r="M7" s="13" t="n">
        <f aca="false">IF(COUNT(F7:L7)&lt;7,"",ROUND(F7*G7*H7/I7*(0.5+0.5*AVERAGE(J7:K7))*(1-0.5*L7),2))</f>
        <v>7.43</v>
      </c>
      <c r="N7" s="13" t="n">
        <f aca="false">IF(M7="","",1+COUNTIF($M$5:$M$14,"&gt;"&amp;M7))</f>
        <v>2</v>
      </c>
      <c r="O7" s="14" t="str">
        <f aca="false">IF(B7="","",IF(OR(D7="",E7=""),"Thiếu",IF(OR(ISNUMBER(SEARCH("0",E7)),ISNUMBER(SEARCH("1",E7)),ISNUMBER(SEARCH("2",E7)),ISNUMBER(SEARCH("3",E7)),ISNUMBER(SEARCH("4",E7)),ISNUMBER(SEARCH("5",E7)),ISNUMBER(SEARCH("6",E7)),ISNUMBER(SEARCH("7",E7)),ISNUMBER(SEARCH("8",E7)),ISNUMBER(SEARCH("9",E7))),"Có","Thiếu")))</f>
        <v>Có</v>
      </c>
      <c r="P7" s="15" t="s">
        <v>68</v>
      </c>
      <c r="Q7" s="15" t="s">
        <v>79</v>
      </c>
    </row>
    <row r="8" customFormat="false" ht="240" hidden="false" customHeight="true" outlineLevel="0" collapsed="false">
      <c r="A8" s="12" t="n">
        <v>4</v>
      </c>
      <c r="B8" s="8" t="s">
        <v>80</v>
      </c>
      <c r="C8" s="8" t="s">
        <v>81</v>
      </c>
      <c r="D8" s="8" t="s">
        <v>82</v>
      </c>
      <c r="E8" s="8" t="s">
        <v>83</v>
      </c>
      <c r="F8" s="8" t="n">
        <v>4</v>
      </c>
      <c r="G8" s="8" t="n">
        <v>3</v>
      </c>
      <c r="H8" s="8" t="n">
        <v>0.5</v>
      </c>
      <c r="I8" s="8" t="n">
        <v>2</v>
      </c>
      <c r="J8" s="8" t="n">
        <v>0.7</v>
      </c>
      <c r="K8" s="8" t="n">
        <v>0.4</v>
      </c>
      <c r="L8" s="8" t="n">
        <v>0.8</v>
      </c>
      <c r="M8" s="13" t="n">
        <f aca="false">IF(COUNT(F8:L8)&lt;7,"",ROUND(F8*G8*H8/I8*(0.5+0.5*AVERAGE(J8:K8))*(1-0.5*L8),2))</f>
        <v>1.4</v>
      </c>
      <c r="N8" s="13" t="n">
        <f aca="false">IF(M8="","",1+COUNTIF($M$5:$M$14,"&gt;"&amp;M8))</f>
        <v>4</v>
      </c>
      <c r="O8" s="14" t="str">
        <f aca="false">IF(B8="","",IF(OR(D8="",E8=""),"Thiếu",IF(OR(ISNUMBER(SEARCH("0",E8)),ISNUMBER(SEARCH("1",E8)),ISNUMBER(SEARCH("2",E8)),ISNUMBER(SEARCH("3",E8)),ISNUMBER(SEARCH("4",E8)),ISNUMBER(SEARCH("5",E8)),ISNUMBER(SEARCH("6",E8)),ISNUMBER(SEARCH("7",E8)),ISNUMBER(SEARCH("8",E8)),ISNUMBER(SEARCH("9",E8))),"Có","Thiếu")))</f>
        <v>Có</v>
      </c>
      <c r="P8" s="15" t="s">
        <v>68</v>
      </c>
      <c r="Q8" s="15" t="s">
        <v>84</v>
      </c>
    </row>
    <row r="9" customFormat="false" ht="240" hidden="false" customHeight="true" outlineLevel="0" collapsed="false">
      <c r="A9" s="12" t="n">
        <v>5</v>
      </c>
      <c r="B9" s="8" t="s">
        <v>85</v>
      </c>
      <c r="C9" s="8" t="s">
        <v>86</v>
      </c>
      <c r="D9" s="8" t="s">
        <v>87</v>
      </c>
      <c r="E9" s="8" t="s">
        <v>88</v>
      </c>
      <c r="F9" s="8" t="n">
        <v>3</v>
      </c>
      <c r="G9" s="8" t="n">
        <v>3</v>
      </c>
      <c r="H9" s="8" t="n">
        <v>0.5</v>
      </c>
      <c r="I9" s="8" t="n">
        <v>4</v>
      </c>
      <c r="J9" s="8" t="n">
        <v>0.2</v>
      </c>
      <c r="K9" s="8" t="n">
        <v>0.1</v>
      </c>
      <c r="L9" s="8" t="n">
        <v>0.5</v>
      </c>
      <c r="M9" s="13" t="n">
        <f aca="false">IF(COUNT(F9:L9)&lt;7,"",ROUND(F9*G9*H9/I9*(0.5+0.5*AVERAGE(J9:K9))*(1-0.5*L9),2))</f>
        <v>0.49</v>
      </c>
      <c r="N9" s="13" t="n">
        <f aca="false">IF(M9="","",1+COUNTIF($M$5:$M$14,"&gt;"&amp;M9))</f>
        <v>6</v>
      </c>
      <c r="O9" s="14" t="str">
        <f aca="false">IF(B9="","",IF(OR(D9="",E9=""),"Thiếu",IF(OR(ISNUMBER(SEARCH("0",E9)),ISNUMBER(SEARCH("1",E9)),ISNUMBER(SEARCH("2",E9)),ISNUMBER(SEARCH("3",E9)),ISNUMBER(SEARCH("4",E9)),ISNUMBER(SEARCH("5",E9)),ISNUMBER(SEARCH("6",E9)),ISNUMBER(SEARCH("7",E9)),ISNUMBER(SEARCH("8",E9)),ISNUMBER(SEARCH("9",E9))),"Có","Thiếu")))</f>
        <v>Có</v>
      </c>
      <c r="P9" s="15" t="s">
        <v>89</v>
      </c>
      <c r="Q9" s="15" t="s">
        <v>90</v>
      </c>
    </row>
    <row r="10" customFormat="false" ht="240" hidden="false" customHeight="true" outlineLevel="0" collapsed="false">
      <c r="A10" s="12" t="n">
        <v>6</v>
      </c>
      <c r="B10" s="8" t="s">
        <v>91</v>
      </c>
      <c r="C10" s="8" t="s">
        <v>92</v>
      </c>
      <c r="D10" s="8" t="s">
        <v>93</v>
      </c>
      <c r="E10" s="8" t="s">
        <v>94</v>
      </c>
      <c r="F10" s="8" t="n">
        <v>3</v>
      </c>
      <c r="G10" s="8" t="n">
        <v>2</v>
      </c>
      <c r="H10" s="8" t="n">
        <v>0.8</v>
      </c>
      <c r="I10" s="8" t="n">
        <v>2</v>
      </c>
      <c r="J10" s="8" t="n">
        <v>0.8</v>
      </c>
      <c r="K10" s="8" t="n">
        <v>0.6</v>
      </c>
      <c r="L10" s="8" t="n">
        <v>0.9</v>
      </c>
      <c r="M10" s="13" t="n">
        <f aca="false">IF(COUNT(F10:L10)&lt;7,"",ROUND(F10*G10*H10/I10*(0.5+0.5*AVERAGE(J10:K10))*(1-0.5*L10),2))</f>
        <v>1.12</v>
      </c>
      <c r="N10" s="13" t="n">
        <f aca="false">IF(M10="","",1+COUNTIF($M$5:$M$14,"&gt;"&amp;M10))</f>
        <v>5</v>
      </c>
      <c r="O10" s="14" t="str">
        <f aca="false">IF(B10="","",IF(OR(D10="",E10=""),"Thiếu",IF(OR(ISNUMBER(SEARCH("0",E10)),ISNUMBER(SEARCH("1",E10)),ISNUMBER(SEARCH("2",E10)),ISNUMBER(SEARCH("3",E10)),ISNUMBER(SEARCH("4",E10)),ISNUMBER(SEARCH("5",E10)),ISNUMBER(SEARCH("6",E10)),ISNUMBER(SEARCH("7",E10)),ISNUMBER(SEARCH("8",E10)),ISNUMBER(SEARCH("9",E10))),"Có","Thiếu")))</f>
        <v>Có</v>
      </c>
      <c r="P10" s="15" t="s">
        <v>95</v>
      </c>
      <c r="Q10" s="15" t="s">
        <v>96</v>
      </c>
    </row>
    <row r="11" customFormat="false" ht="15" hidden="false" customHeight="true" outlineLevel="0" collapsed="false">
      <c r="A11" s="12" t="n">
        <v>7</v>
      </c>
      <c r="B11" s="16"/>
      <c r="C11" s="16"/>
      <c r="D11" s="16"/>
      <c r="E11" s="16"/>
      <c r="F11" s="16"/>
      <c r="G11" s="16"/>
      <c r="H11" s="16"/>
      <c r="I11" s="16"/>
      <c r="J11" s="16"/>
      <c r="K11" s="16"/>
      <c r="L11" s="16"/>
      <c r="M11" s="17" t="str">
        <f aca="false">IF(COUNT(F11:L11)&lt;7,"",ROUND(F11*G11*H11/I11*(0.5+0.5*AVERAGE(J11:K11))*(1-0.5*L11),2))</f>
        <v/>
      </c>
      <c r="N11" s="17" t="str">
        <f aca="false">IF(M11="","",1+COUNTIF($M$5:$M$14,"&gt;"&amp;M11))</f>
        <v/>
      </c>
      <c r="O11" s="18" t="str">
        <f aca="false">IF(B11="","",IF(OR(D11="",E11=""),"Thiếu",IF(OR(ISNUMBER(SEARCH("0",E11)),ISNUMBER(SEARCH("1",E11)),ISNUMBER(SEARCH("2",E11)),ISNUMBER(SEARCH("3",E11)),ISNUMBER(SEARCH("4",E11)),ISNUMBER(SEARCH("5",E11)),ISNUMBER(SEARCH("6",E11)),ISNUMBER(SEARCH("7",E11)),ISNUMBER(SEARCH("8",E11)),ISNUMBER(SEARCH("9",E11))),"Có","Thiếu")))</f>
        <v/>
      </c>
      <c r="P11" s="19"/>
      <c r="Q11" s="19"/>
    </row>
    <row r="12" customFormat="false" ht="15" hidden="false" customHeight="true" outlineLevel="0" collapsed="false">
      <c r="A12" s="12" t="n">
        <v>8</v>
      </c>
      <c r="B12" s="16"/>
      <c r="C12" s="16"/>
      <c r="D12" s="16"/>
      <c r="E12" s="16"/>
      <c r="F12" s="16"/>
      <c r="G12" s="16"/>
      <c r="H12" s="16"/>
      <c r="I12" s="16"/>
      <c r="J12" s="16"/>
      <c r="K12" s="16"/>
      <c r="L12" s="16"/>
      <c r="M12" s="17" t="str">
        <f aca="false">IF(COUNT(F12:L12)&lt;7,"",ROUND(F12*G12*H12/I12*(0.5+0.5*AVERAGE(J12:K12))*(1-0.5*L12),2))</f>
        <v/>
      </c>
      <c r="N12" s="17" t="str">
        <f aca="false">IF(M12="","",1+COUNTIF($M$5:$M$14,"&gt;"&amp;M12))</f>
        <v/>
      </c>
      <c r="O12" s="18" t="str">
        <f aca="false">IF(B12="","",IF(OR(D12="",E12=""),"Thiếu",IF(OR(ISNUMBER(SEARCH("0",E12)),ISNUMBER(SEARCH("1",E12)),ISNUMBER(SEARCH("2",E12)),ISNUMBER(SEARCH("3",E12)),ISNUMBER(SEARCH("4",E12)),ISNUMBER(SEARCH("5",E12)),ISNUMBER(SEARCH("6",E12)),ISNUMBER(SEARCH("7",E12)),ISNUMBER(SEARCH("8",E12)),ISNUMBER(SEARCH("9",E12))),"Có","Thiếu")))</f>
        <v/>
      </c>
      <c r="P12" s="19"/>
      <c r="Q12" s="19"/>
    </row>
    <row r="13" customFormat="false" ht="15" hidden="false" customHeight="true" outlineLevel="0" collapsed="false">
      <c r="A13" s="12" t="n">
        <v>9</v>
      </c>
      <c r="B13" s="16"/>
      <c r="C13" s="16"/>
      <c r="D13" s="16"/>
      <c r="E13" s="16"/>
      <c r="F13" s="16"/>
      <c r="G13" s="16"/>
      <c r="H13" s="16"/>
      <c r="I13" s="16"/>
      <c r="J13" s="16"/>
      <c r="K13" s="16"/>
      <c r="L13" s="16"/>
      <c r="M13" s="17" t="str">
        <f aca="false">IF(COUNT(F13:L13)&lt;7,"",ROUND(F13*G13*H13/I13*(0.5+0.5*AVERAGE(J13:K13))*(1-0.5*L13),2))</f>
        <v/>
      </c>
      <c r="N13" s="17" t="str">
        <f aca="false">IF(M13="","",1+COUNTIF($M$5:$M$14,"&gt;"&amp;M13))</f>
        <v/>
      </c>
      <c r="O13" s="18" t="str">
        <f aca="false">IF(B13="","",IF(OR(D13="",E13=""),"Thiếu",IF(OR(ISNUMBER(SEARCH("0",E13)),ISNUMBER(SEARCH("1",E13)),ISNUMBER(SEARCH("2",E13)),ISNUMBER(SEARCH("3",E13)),ISNUMBER(SEARCH("4",E13)),ISNUMBER(SEARCH("5",E13)),ISNUMBER(SEARCH("6",E13)),ISNUMBER(SEARCH("7",E13)),ISNUMBER(SEARCH("8",E13)),ISNUMBER(SEARCH("9",E13))),"Có","Thiếu")))</f>
        <v/>
      </c>
      <c r="P13" s="19"/>
      <c r="Q13" s="19"/>
    </row>
    <row r="14" customFormat="false" ht="15" hidden="false" customHeight="true" outlineLevel="0" collapsed="false">
      <c r="A14" s="12" t="n">
        <v>10</v>
      </c>
      <c r="B14" s="16"/>
      <c r="C14" s="16"/>
      <c r="D14" s="16"/>
      <c r="E14" s="16"/>
      <c r="F14" s="16"/>
      <c r="G14" s="16"/>
      <c r="H14" s="16"/>
      <c r="I14" s="16"/>
      <c r="J14" s="16"/>
      <c r="K14" s="16"/>
      <c r="L14" s="16"/>
      <c r="M14" s="17" t="str">
        <f aca="false">IF(COUNT(F14:L14)&lt;7,"",ROUND(F14*G14*H14/I14*(0.5+0.5*AVERAGE(J14:K14))*(1-0.5*L14),2))</f>
        <v/>
      </c>
      <c r="N14" s="17" t="str">
        <f aca="false">IF(M14="","",1+COUNTIF($M$5:$M$14,"&gt;"&amp;M14))</f>
        <v/>
      </c>
      <c r="O14" s="18" t="str">
        <f aca="false">IF(B14="","",IF(OR(D14="",E14=""),"Thiếu",IF(OR(ISNUMBER(SEARCH("0",E14)),ISNUMBER(SEARCH("1",E14)),ISNUMBER(SEARCH("2",E14)),ISNUMBER(SEARCH("3",E14)),ISNUMBER(SEARCH("4",E14)),ISNUMBER(SEARCH("5",E14)),ISNUMBER(SEARCH("6",E14)),ISNUMBER(SEARCH("7",E14)),ISNUMBER(SEARCH("8",E14)),ISNUMBER(SEARCH("9",E14))),"Có","Thiếu")))</f>
        <v/>
      </c>
      <c r="P14" s="19"/>
      <c r="Q14" s="19"/>
    </row>
  </sheetData>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97</v>
      </c>
    </row>
    <row r="2" customFormat="false" ht="15" hidden="false" customHeight="true" outlineLevel="0" collapsed="false">
      <c r="A2" s="3" t="s">
        <v>98</v>
      </c>
    </row>
    <row r="4" customFormat="false" ht="26.25" hidden="false" customHeight="true" outlineLevel="0" collapsed="false">
      <c r="A4" s="11" t="s">
        <v>99</v>
      </c>
      <c r="B4" s="11" t="s">
        <v>100</v>
      </c>
      <c r="C4" s="11" t="s">
        <v>101</v>
      </c>
      <c r="D4" s="11" t="s">
        <v>102</v>
      </c>
      <c r="E4" s="11" t="s">
        <v>103</v>
      </c>
      <c r="F4" s="11" t="s">
        <v>104</v>
      </c>
      <c r="G4" s="11" t="s">
        <v>105</v>
      </c>
      <c r="H4" s="11" t="s">
        <v>106</v>
      </c>
      <c r="I4" s="11" t="s">
        <v>107</v>
      </c>
      <c r="J4" s="11" t="s">
        <v>108</v>
      </c>
      <c r="K4" s="11" t="s">
        <v>109</v>
      </c>
      <c r="L4" s="11" t="s">
        <v>110</v>
      </c>
      <c r="M4" s="11" t="s">
        <v>111</v>
      </c>
    </row>
    <row r="5" customFormat="false" ht="350" hidden="false" customHeight="true" outlineLevel="0" collapsed="false">
      <c r="A5" s="12" t="n">
        <v>0</v>
      </c>
      <c r="B5" s="8" t="s">
        <v>112</v>
      </c>
      <c r="C5" s="8" t="s">
        <v>113</v>
      </c>
      <c r="D5" s="8" t="s">
        <v>114</v>
      </c>
      <c r="E5" s="8" t="s">
        <v>115</v>
      </c>
      <c r="F5" s="8" t="s">
        <v>116</v>
      </c>
      <c r="G5" s="8" t="s">
        <v>117</v>
      </c>
      <c r="H5" s="20" t="n">
        <v>1</v>
      </c>
      <c r="I5" s="15" t="s">
        <v>118</v>
      </c>
      <c r="J5" s="21" t="n">
        <f aca="false">IF(H5="","",$B$12+$B$13+IF(I5="Người của mình",H5*$B$14*$B$15/60,0))</f>
        <v>11668</v>
      </c>
      <c r="K5" s="22" t="n">
        <f aca="false">IF(J5="","",IFERROR(($B$16-$B$17*J5)/$B$16,""))</f>
        <v>0.06656</v>
      </c>
      <c r="L5" s="23" t="str">
        <f aca="false">IF(K5="","",IF(K5&gt;=0.6,"Đạt","Dưới ngưỡng"))</f>
        <v>Dưới ngưỡng</v>
      </c>
      <c r="M5" s="24"/>
    </row>
    <row r="6" customFormat="false" ht="350" hidden="false" customHeight="true" outlineLevel="0" collapsed="false">
      <c r="A6" s="12" t="n">
        <v>1</v>
      </c>
      <c r="B6" s="8" t="s">
        <v>119</v>
      </c>
      <c r="C6" s="8" t="s">
        <v>120</v>
      </c>
      <c r="D6" s="8" t="s">
        <v>121</v>
      </c>
      <c r="E6" s="8" t="s">
        <v>122</v>
      </c>
      <c r="F6" s="8" t="s">
        <v>123</v>
      </c>
      <c r="G6" s="8" t="s">
        <v>124</v>
      </c>
      <c r="H6" s="20" t="n">
        <v>1</v>
      </c>
      <c r="I6" s="15" t="s">
        <v>118</v>
      </c>
      <c r="J6" s="21" t="n">
        <f aca="false">IF(H6="","",$B$12+$B$13+IF(I6="Người của mình",H6*$B$14*$B$15/60,0))</f>
        <v>11668</v>
      </c>
      <c r="K6" s="22" t="n">
        <f aca="false">IF(J6="","",IFERROR(($B$16-$B$17*J6)/$B$16,""))</f>
        <v>0.06656</v>
      </c>
      <c r="L6" s="23" t="str">
        <f aca="false">IF(K6="","",IF(K6&gt;=0.6,"Đạt","Dưới ngưỡng"))</f>
        <v>Dưới ngưỡng</v>
      </c>
      <c r="M6" s="23" t="str">
        <f aca="false">IF(E6="","",IF(OR(ISNUMBER(SEARCH("0",E6)),ISNUMBER(SEARCH("1",E6)),ISNUMBER(SEARCH("2",E6)),ISNUMBER(SEARCH("3",E6)),ISNUMBER(SEARCH("4",E6)),ISNUMBER(SEARCH("5",E6)),ISNUMBER(SEARCH("6",E6)),ISNUMBER(SEARCH("7",E6)),ISNUMBER(SEARCH("8",E6)),ISNUMBER(SEARCH("9",E6))),"Có","Thiếu"))</f>
        <v>Có</v>
      </c>
    </row>
    <row r="7" customFormat="false" ht="350" hidden="false" customHeight="true" outlineLevel="0" collapsed="false">
      <c r="A7" s="12" t="n">
        <v>2</v>
      </c>
      <c r="B7" s="8" t="s">
        <v>125</v>
      </c>
      <c r="C7" s="8" t="s">
        <v>126</v>
      </c>
      <c r="D7" s="8" t="s">
        <v>127</v>
      </c>
      <c r="E7" s="8" t="s">
        <v>128</v>
      </c>
      <c r="F7" s="8" t="s">
        <v>129</v>
      </c>
      <c r="G7" s="8" t="s">
        <v>130</v>
      </c>
      <c r="H7" s="20" t="n">
        <v>0.1</v>
      </c>
      <c r="I7" s="15" t="s">
        <v>118</v>
      </c>
      <c r="J7" s="21" t="n">
        <f aca="false">IF(H7="","",$B$12+$B$13+IF(I7="Người của mình",H7*$B$14*$B$15/60,0))</f>
        <v>4918</v>
      </c>
      <c r="K7" s="22" t="n">
        <f aca="false">IF(J7="","",IFERROR(($B$16-$B$17*J7)/$B$16,""))</f>
        <v>0.60656</v>
      </c>
      <c r="L7" s="23" t="str">
        <f aca="false">IF(K7="","",IF(K7&gt;=0.6,"Đạt","Dưới ngưỡng"))</f>
        <v>Đạt</v>
      </c>
      <c r="M7" s="23" t="str">
        <f aca="false">IF(E7="","",IF(OR(ISNUMBER(SEARCH("0",E7)),ISNUMBER(SEARCH("1",E7)),ISNUMBER(SEARCH("2",E7)),ISNUMBER(SEARCH("3",E7)),ISNUMBER(SEARCH("4",E7)),ISNUMBER(SEARCH("5",E7)),ISNUMBER(SEARCH("6",E7)),ISNUMBER(SEARCH("7",E7)),ISNUMBER(SEARCH("8",E7)),ISNUMBER(SEARCH("9",E7))),"Có","Thiếu"))</f>
        <v>Có</v>
      </c>
    </row>
    <row r="8" customFormat="false" ht="350" hidden="false" customHeight="true" outlineLevel="0" collapsed="false">
      <c r="A8" s="12" t="n">
        <v>3</v>
      </c>
      <c r="B8" s="8" t="s">
        <v>131</v>
      </c>
      <c r="C8" s="8" t="s">
        <v>132</v>
      </c>
      <c r="D8" s="8" t="s">
        <v>133</v>
      </c>
      <c r="E8" s="8" t="s">
        <v>134</v>
      </c>
      <c r="F8" s="8" t="s">
        <v>135</v>
      </c>
      <c r="G8" s="8" t="s">
        <v>136</v>
      </c>
      <c r="H8" s="20"/>
      <c r="I8" s="15" t="s">
        <v>137</v>
      </c>
      <c r="J8" s="21" t="str">
        <f aca="false">IF(H8="","",$B$12+$B$13+IF(I8="Người của mình",H8*$B$14*$B$15/60,0))</f>
        <v/>
      </c>
      <c r="K8" s="22" t="str">
        <f aca="false">IF(J8="","",IFERROR(($B$16-$B$17*J8)/$B$16,""))</f>
        <v/>
      </c>
      <c r="L8" s="23" t="str">
        <f aca="false">IF(K8="","",IF(K8&gt;=0.6,"Đạt","Dưới ngưỡng"))</f>
        <v/>
      </c>
      <c r="M8" s="23" t="str">
        <f aca="false">IF(E8="","",IF(OR(ISNUMBER(SEARCH("0",E8)),ISNUMBER(SEARCH("1",E8)),ISNUMBER(SEARCH("2",E8)),ISNUMBER(SEARCH("3",E8)),ISNUMBER(SEARCH("4",E8)),ISNUMBER(SEARCH("5",E8)),ISNUMBER(SEARCH("6",E8)),ISNUMBER(SEARCH("7",E8)),ISNUMBER(SEARCH("8",E8)),ISNUMBER(SEARCH("9",E8))),"Có","Thiếu"))</f>
        <v>Có</v>
      </c>
    </row>
    <row r="11" customFormat="false" ht="15" hidden="false" customHeight="true" outlineLevel="0" collapsed="false">
      <c r="A11" s="10" t="s">
        <v>138</v>
      </c>
    </row>
    <row r="12" customFormat="false" ht="15" hidden="false" customHeight="true" outlineLevel="0" collapsed="false">
      <c r="A12" s="25" t="s">
        <v>139</v>
      </c>
      <c r="B12" s="26" t="n">
        <v>2968</v>
      </c>
      <c r="C12" s="27" t="s">
        <v>140</v>
      </c>
    </row>
    <row r="13" customFormat="false" ht="15" hidden="false" customHeight="true" outlineLevel="0" collapsed="false">
      <c r="A13" s="25" t="s">
        <v>141</v>
      </c>
      <c r="B13" s="26" t="n">
        <v>1200</v>
      </c>
      <c r="C13" s="27" t="s">
        <v>142</v>
      </c>
    </row>
    <row r="14" customFormat="false" ht="15" hidden="false" customHeight="true" outlineLevel="0" collapsed="false">
      <c r="A14" s="25" t="s">
        <v>143</v>
      </c>
      <c r="B14" s="28" t="n">
        <v>3</v>
      </c>
      <c r="C14" s="27" t="s">
        <v>144</v>
      </c>
    </row>
    <row r="15" customFormat="false" ht="15" hidden="false" customHeight="true" outlineLevel="0" collapsed="false">
      <c r="A15" s="25" t="s">
        <v>145</v>
      </c>
      <c r="B15" s="26" t="n">
        <v>150000</v>
      </c>
      <c r="C15" s="27" t="s">
        <v>146</v>
      </c>
    </row>
    <row r="16" customFormat="false" ht="15" hidden="false" customHeight="true" outlineLevel="0" collapsed="false">
      <c r="A16" s="25" t="s">
        <v>147</v>
      </c>
      <c r="B16" s="26" t="n">
        <v>15000000</v>
      </c>
      <c r="C16" s="27" t="s">
        <v>148</v>
      </c>
    </row>
    <row r="17" customFormat="false" ht="15" hidden="false" customHeight="true" outlineLevel="0" collapsed="false">
      <c r="A17" s="25" t="s">
        <v>149</v>
      </c>
      <c r="B17" s="26" t="n">
        <v>1200</v>
      </c>
      <c r="C17" s="27" t="s">
        <v>150</v>
      </c>
    </row>
    <row r="18" customFormat="false" ht="15" hidden="false" customHeight="true" outlineLevel="0" collapsed="false">
      <c r="A18" s="25" t="s">
        <v>151</v>
      </c>
      <c r="B18" s="19" t="s">
        <v>152</v>
      </c>
      <c r="C18" s="27" t="s">
        <v>153</v>
      </c>
    </row>
    <row r="19" customFormat="false" ht="15" hidden="false" customHeight="true" outlineLevel="0" collapsed="false">
      <c r="A19" s="25" t="s">
        <v>154</v>
      </c>
      <c r="B19" s="19" t="s">
        <v>155</v>
      </c>
      <c r="C19" s="27" t="s">
        <v>156</v>
      </c>
    </row>
    <row r="20" customFormat="false" ht="15" hidden="false" customHeight="true" outlineLevel="0" collapsed="false">
      <c r="A20" s="25" t="s">
        <v>157</v>
      </c>
      <c r="B20" s="29" t="n">
        <v>9</v>
      </c>
      <c r="C20" s="27" t="s">
        <v>158</v>
      </c>
    </row>
    <row r="22" customFormat="false" ht="15" hidden="false" customHeight="true" outlineLevel="0" collapsed="false">
      <c r="A22" s="27" t="s">
        <v>159</v>
      </c>
    </row>
    <row r="23" customFormat="false" ht="15" hidden="false" customHeight="true" outlineLevel="0" collapsed="false">
      <c r="A23" s="27"/>
    </row>
  </sheetData>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160</v>
      </c>
    </row>
    <row r="2" customFormat="false" ht="15" hidden="false" customHeight="true" outlineLevel="0" collapsed="false">
      <c r="A2" s="3" t="s">
        <v>161</v>
      </c>
    </row>
    <row r="4" customFormat="false" ht="15" hidden="false" customHeight="true" outlineLevel="0" collapsed="false">
      <c r="A4" s="11" t="s">
        <v>162</v>
      </c>
      <c r="B4" s="11" t="s">
        <v>163</v>
      </c>
      <c r="C4" s="11" t="s">
        <v>164</v>
      </c>
      <c r="D4" s="11" t="s">
        <v>165</v>
      </c>
    </row>
    <row r="5" customFormat="false" ht="75" hidden="false" customHeight="true" outlineLevel="0" collapsed="false">
      <c r="A5" s="30" t="s">
        <v>166</v>
      </c>
      <c r="B5" s="8" t="s">
        <v>167</v>
      </c>
      <c r="C5" s="8" t="s">
        <v>168</v>
      </c>
      <c r="D5" s="8" t="s">
        <v>169</v>
      </c>
    </row>
    <row r="6" customFormat="false" ht="60" hidden="false" customHeight="true" outlineLevel="0" collapsed="false">
      <c r="A6" s="30" t="s">
        <v>170</v>
      </c>
      <c r="B6" s="8" t="s">
        <v>171</v>
      </c>
      <c r="C6" s="8" t="s">
        <v>172</v>
      </c>
      <c r="D6" s="8" t="s">
        <v>173</v>
      </c>
    </row>
    <row r="7" customFormat="false" ht="85" hidden="false" customHeight="true" outlineLevel="0" collapsed="false">
      <c r="A7" s="30" t="s">
        <v>51</v>
      </c>
      <c r="B7" s="8" t="s">
        <v>174</v>
      </c>
      <c r="C7" s="8" t="s">
        <v>175</v>
      </c>
      <c r="D7" s="8" t="s">
        <v>176</v>
      </c>
    </row>
    <row r="8" customFormat="false" ht="65" hidden="false" customHeight="true" outlineLevel="0" collapsed="false">
      <c r="A8" s="30" t="s">
        <v>177</v>
      </c>
      <c r="B8" s="8" t="s">
        <v>178</v>
      </c>
      <c r="C8" s="8" t="s">
        <v>179</v>
      </c>
      <c r="D8" s="8" t="s">
        <v>180</v>
      </c>
    </row>
    <row r="9" customFormat="false" ht="170" hidden="false" customHeight="true" outlineLevel="0" collapsed="false">
      <c r="A9" s="30" t="s">
        <v>181</v>
      </c>
      <c r="B9" s="8" t="s">
        <v>122</v>
      </c>
      <c r="C9" s="8" t="s">
        <v>128</v>
      </c>
      <c r="D9" s="8" t="s">
        <v>182</v>
      </c>
    </row>
    <row r="10" customFormat="false" ht="120" hidden="false" customHeight="true" outlineLevel="0" collapsed="false">
      <c r="A10" s="30" t="s">
        <v>183</v>
      </c>
      <c r="B10" s="8" t="s">
        <v>184</v>
      </c>
      <c r="C10" s="8" t="s">
        <v>185</v>
      </c>
      <c r="D10" s="8" t="s">
        <v>186</v>
      </c>
    </row>
    <row r="11" customFormat="false" ht="140" hidden="false" customHeight="true" outlineLevel="0" collapsed="false">
      <c r="A11" s="30" t="s">
        <v>187</v>
      </c>
      <c r="B11" s="8" t="s">
        <v>188</v>
      </c>
      <c r="C11" s="8" t="s">
        <v>189</v>
      </c>
      <c r="D11" s="8" t="s">
        <v>190</v>
      </c>
    </row>
    <row r="12" customFormat="false" ht="130" hidden="false" customHeight="true" outlineLevel="0" collapsed="false">
      <c r="A12" s="30" t="s">
        <v>191</v>
      </c>
      <c r="B12" s="8" t="s">
        <v>192</v>
      </c>
      <c r="C12" s="8" t="s">
        <v>193</v>
      </c>
      <c r="D12" s="8" t="s">
        <v>194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195</v>
      </c>
    </row>
    <row r="2" customFormat="false" ht="15" hidden="false" customHeight="true" outlineLevel="0" collapsed="false">
      <c r="A2" s="3" t="s">
        <v>196</v>
      </c>
    </row>
    <row r="4" customFormat="false" ht="15" hidden="false" customHeight="true" outlineLevel="0" collapsed="false">
      <c r="A4" s="11" t="s">
        <v>197</v>
      </c>
      <c r="B4" s="11" t="s">
        <v>198</v>
      </c>
      <c r="C4" s="11" t="s">
        <v>199</v>
      </c>
      <c r="D4" s="11" t="s">
        <v>200</v>
      </c>
    </row>
    <row r="5" customFormat="false" ht="175" hidden="false" customHeight="true" outlineLevel="0" collapsed="false">
      <c r="A5" s="8" t="s">
        <v>201</v>
      </c>
      <c r="B5" s="8" t="s">
        <v>202</v>
      </c>
      <c r="C5" s="8" t="s">
        <v>203</v>
      </c>
      <c r="D5" s="8" t="s">
        <v>204</v>
      </c>
    </row>
    <row r="6" customFormat="false" ht="175" hidden="false" customHeight="true" outlineLevel="0" collapsed="false">
      <c r="A6" s="8" t="s">
        <v>205</v>
      </c>
      <c r="B6" s="8" t="s">
        <v>206</v>
      </c>
      <c r="C6" s="8" t="s">
        <v>207</v>
      </c>
      <c r="D6" s="8" t="s">
        <v>208</v>
      </c>
    </row>
    <row r="7" customFormat="false" ht="175" hidden="false" customHeight="true" outlineLevel="0" collapsed="false">
      <c r="A7" s="8" t="s">
        <v>209</v>
      </c>
      <c r="B7" s="8" t="s">
        <v>210</v>
      </c>
      <c r="C7" s="8" t="s">
        <v>211</v>
      </c>
      <c r="D7" s="8" t="s">
        <v>212</v>
      </c>
    </row>
    <row r="8" customFormat="false" ht="175" hidden="false" customHeight="true" outlineLevel="0" collapsed="false">
      <c r="A8" s="8" t="s">
        <v>213</v>
      </c>
      <c r="B8" s="8" t="s">
        <v>214</v>
      </c>
      <c r="C8" s="8" t="s">
        <v>215</v>
      </c>
      <c r="D8" s="8" t="s">
        <v>216</v>
      </c>
    </row>
    <row r="9" customFormat="false" ht="175" hidden="false" customHeight="true" outlineLevel="0" collapsed="false">
      <c r="A9" s="8" t="s">
        <v>217</v>
      </c>
      <c r="B9" s="8" t="s">
        <v>218</v>
      </c>
      <c r="C9" s="8" t="s">
        <v>219</v>
      </c>
      <c r="D9" s="8" t="s">
        <v>220</v>
      </c>
    </row>
    <row r="10" customFormat="false" ht="175" hidden="false" customHeight="true" outlineLevel="0" collapsed="false">
      <c r="A10" s="8" t="s">
        <v>221</v>
      </c>
      <c r="B10" s="8" t="s">
        <v>222</v>
      </c>
      <c r="C10" s="8" t="s">
        <v>223</v>
      </c>
      <c r="D10" s="8" t="s">
        <v>224</v>
      </c>
    </row>
    <row r="12" customFormat="false" ht="15" hidden="false" customHeight="true" outlineLevel="0" collapsed="false">
      <c r="A12" s="27" t="s">
        <v>225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226</v>
      </c>
    </row>
    <row r="2" customFormat="false" ht="15" hidden="false" customHeight="true" outlineLevel="0" collapsed="false">
      <c r="A2" s="3" t="s">
        <v>227</v>
      </c>
    </row>
    <row r="3" customFormat="false" ht="15" hidden="false" customHeight="true" outlineLevel="0" collapsed="false">
      <c r="C3" s="31" t="s">
        <v>228</v>
      </c>
      <c r="D3" s="31" t="s">
        <v>229</v>
      </c>
    </row>
    <row r="4" customFormat="false" ht="145" hidden="false" customHeight="true" outlineLevel="0" collapsed="false">
      <c r="A4" s="32" t="s">
        <v>230</v>
      </c>
      <c r="B4" s="8" t="s">
        <v>231</v>
      </c>
      <c r="C4" s="33" t="n">
        <f aca="false">IF(TRIM(B4)="",0,LEN(TRIM(B4))-LEN(SUBSTITUTE(TRIM(B4)," ",""))+1)</f>
        <v>34</v>
      </c>
      <c r="D4" s="23" t="str">
        <f aca="false">IF(C4=0,"Trống",IF(C4&gt;60,"Quá 60 chữ","Đạt"))</f>
        <v>Đạt</v>
      </c>
    </row>
    <row r="5" customFormat="false" ht="145" hidden="false" customHeight="true" outlineLevel="0" collapsed="false">
      <c r="A5" s="32" t="s">
        <v>232</v>
      </c>
      <c r="B5" s="8" t="s">
        <v>233</v>
      </c>
      <c r="C5" s="33" t="n">
        <f aca="false">IF(TRIM(B5)="",0,LEN(TRIM(B5))-LEN(SUBSTITUTE(TRIM(B5)," ",""))+1)</f>
        <v>38</v>
      </c>
      <c r="D5" s="23" t="str">
        <f aca="false">IF(C5=0,"Trống",IF(C5&gt;60,"Quá 60 chữ","Đạt"))</f>
        <v>Đạt</v>
      </c>
    </row>
    <row r="6" customFormat="false" ht="145" hidden="false" customHeight="true" outlineLevel="0" collapsed="false">
      <c r="A6" s="32" t="s">
        <v>234</v>
      </c>
      <c r="B6" s="8" t="s">
        <v>235</v>
      </c>
      <c r="C6" s="33" t="n">
        <f aca="false">IF(TRIM(B6)="",0,LEN(TRIM(B6))-LEN(SUBSTITUTE(TRIM(B6)," ",""))+1)</f>
        <v>36</v>
      </c>
      <c r="D6" s="23" t="str">
        <f aca="false">IF(C6=0,"Trống",IF(C6&gt;60,"Quá 60 chữ","Đạt"))</f>
        <v>Đạt</v>
      </c>
    </row>
    <row r="7" customFormat="false" ht="145" hidden="false" customHeight="true" outlineLevel="0" collapsed="false">
      <c r="A7" s="32" t="s">
        <v>236</v>
      </c>
      <c r="B7" s="8" t="s">
        <v>237</v>
      </c>
      <c r="C7" s="33" t="n">
        <f aca="false">IF(TRIM(B7)="",0,LEN(TRIM(B7))-LEN(SUBSTITUTE(TRIM(B7)," ",""))+1)</f>
        <v>35</v>
      </c>
      <c r="D7" s="23" t="str">
        <f aca="false">IF(C7=0,"Trống",IF(C7&gt;60,"Quá 60 chữ","Đạt"))</f>
        <v>Đạt</v>
      </c>
    </row>
    <row r="8" customFormat="false" ht="145" hidden="false" customHeight="true" outlineLevel="0" collapsed="false">
      <c r="A8" s="32" t="s">
        <v>238</v>
      </c>
      <c r="B8" s="8" t="s">
        <v>239</v>
      </c>
      <c r="C8" s="33" t="n">
        <f aca="false">IF(TRIM(B8)="",0,LEN(TRIM(B8))-LEN(SUBSTITUTE(TRIM(B8)," ",""))+1)</f>
        <v>38</v>
      </c>
      <c r="D8" s="23" t="str">
        <f aca="false">IF(C8=0,"Trống",IF(C8&gt;60,"Quá 60 chữ","Đạt"))</f>
        <v>Đạt</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240</v>
      </c>
    </row>
    <row r="2" customFormat="false" ht="15" hidden="false" customHeight="true" outlineLevel="0" collapsed="false">
      <c r="A2" s="3" t="s">
        <v>241</v>
      </c>
    </row>
    <row r="4" customFormat="false" ht="15" hidden="false" customHeight="true" outlineLevel="0" collapsed="false">
      <c r="A4" s="11" t="s">
        <v>242</v>
      </c>
      <c r="B4" s="11" t="s">
        <v>243</v>
      </c>
      <c r="C4" s="11" t="s">
        <v>229</v>
      </c>
    </row>
    <row r="5" customFormat="false" ht="15" hidden="false" customHeight="true" outlineLevel="0" collapsed="false">
      <c r="A5" s="12" t="s">
        <v>244</v>
      </c>
      <c r="B5" s="17" t="n">
        <f aca="false">COUNT('1_Danh sách việc'!M5:M14)</f>
        <v>6</v>
      </c>
      <c r="C5" s="17" t="str">
        <f aca="false">IF(B5&gt;=5,"Đạt","Xem lại")</f>
        <v>Đạt</v>
      </c>
    </row>
    <row r="6" customFormat="false" ht="15" hidden="false" customHeight="true" outlineLevel="0" collapsed="false">
      <c r="A6" s="12" t="s">
        <v>245</v>
      </c>
      <c r="B6" s="17" t="n">
        <f aca="false">COUNTIFS('1_Danh sách việc'!O5:O14,"Thiếu",'1_Danh sách việc'!P5:P14,"&lt;&gt;Không làm")</f>
        <v>0</v>
      </c>
      <c r="C6" s="17" t="str">
        <f aca="false">IF(B5=0,"",IF(B6=0,"Đạt","Xem lại"))</f>
        <v>Đạt</v>
      </c>
    </row>
    <row r="7" customFormat="false" ht="15" hidden="false" customHeight="true" outlineLevel="0" collapsed="false">
      <c r="A7" s="12" t="s">
        <v>246</v>
      </c>
      <c r="B7" s="17" t="n">
        <f aca="false">COUNTIF('2_Mức tự động'!M6:M8,"Có")</f>
        <v>3</v>
      </c>
      <c r="C7" s="17" t="str">
        <f aca="false">IF(B7&gt;=2,"Đạt","Xem lại")</f>
        <v>Đạt</v>
      </c>
    </row>
    <row r="8" customFormat="false" ht="15" hidden="false" customHeight="true" outlineLevel="0" collapsed="false">
      <c r="A8" s="12" t="s">
        <v>247</v>
      </c>
      <c r="B8" s="17" t="n">
        <f aca="false">COUNTA('3_Bảng lộ trình'!B5:B12)</f>
        <v>8</v>
      </c>
      <c r="C8" s="17" t="str">
        <f aca="false">IF(B8=8,"Đạt","Xem lại")</f>
        <v>Đạt</v>
      </c>
    </row>
    <row r="9" customFormat="false" ht="15" hidden="false" customHeight="true" outlineLevel="0" collapsed="false">
      <c r="A9" s="12" t="s">
        <v>248</v>
      </c>
      <c r="B9" s="17" t="str">
        <f aca="false">IF(AND(LEN('3_Bảng lộ trình'!B12)&gt;10,OR(ISNUMBER(SEARCH("0",'3_Bảng lộ trình'!B12)),ISNUMBER(SEARCH("1",'3_Bảng lộ trình'!B12)),ISNUMBER(SEARCH("2",'3_Bảng lộ trình'!B12)),ISNUMBER(SEARCH("3",'3_Bảng lộ trình'!B12)),ISNUMBER(SEARCH("4",'3_Bảng lộ trình'!B12)),ISNUMBER(SEARCH("5",'3_Bảng lộ trình'!B12)),ISNUMBER(SEARCH("6",'3_Bảng lộ trình'!B12)),ISNUMBER(SEARCH("7",'3_Bảng lộ trình'!B12)),ISNUMBER(SEARCH("8",'3_Bảng lộ trình'!B12)),ISNUMBER(SEARCH("9",'3_Bảng lộ trình'!B12)))),"Có","Chưa")</f>
        <v>Có</v>
      </c>
      <c r="C9" s="17" t="str">
        <f aca="false">IF(B9="Có","Đạt","Xem lại")</f>
        <v>Đạt</v>
      </c>
    </row>
    <row r="10" customFormat="false" ht="15" hidden="false" customHeight="true" outlineLevel="0" collapsed="false">
      <c r="A10" s="12" t="s">
        <v>249</v>
      </c>
      <c r="B10" s="17" t="str">
        <f aca="false">IF(AND(LEN('3_Bảng lộ trình'!B11)&gt;10,OR(ISNUMBER(SEARCH("0",'3_Bảng lộ trình'!B11)),ISNUMBER(SEARCH("1",'3_Bảng lộ trình'!B11)),ISNUMBER(SEARCH("2",'3_Bảng lộ trình'!B11)),ISNUMBER(SEARCH("3",'3_Bảng lộ trình'!B11)),ISNUMBER(SEARCH("4",'3_Bảng lộ trình'!B11)),ISNUMBER(SEARCH("5",'3_Bảng lộ trình'!B11)),ISNUMBER(SEARCH("6",'3_Bảng lộ trình'!B11)),ISNUMBER(SEARCH("7",'3_Bảng lộ trình'!B11)),ISNUMBER(SEARCH("8",'3_Bảng lộ trình'!B11)),ISNUMBER(SEARCH("9",'3_Bảng lộ trình'!B11)))),"Có","Chưa")</f>
        <v>Có</v>
      </c>
      <c r="C10" s="17" t="str">
        <f aca="false">IF(B10="Có","Đạt","Xem lại")</f>
        <v>Đạt</v>
      </c>
    </row>
    <row r="11" customFormat="false" ht="15" hidden="false" customHeight="true" outlineLevel="0" collapsed="false">
      <c r="A11" s="12" t="s">
        <v>250</v>
      </c>
      <c r="B11" s="17" t="n">
        <f aca="false">COUNTIF('5_Slide lãnh đạo'!D4:D8,"Đạt")</f>
        <v>5</v>
      </c>
      <c r="C11" s="17" t="str">
        <f aca="false">IF(B11=5,"Đạt","Xem lại")</f>
        <v>Đạt</v>
      </c>
    </row>
    <row r="12" customFormat="false" ht="15" hidden="false" customHeight="true" outlineLevel="0" collapsed="false">
      <c r="A12" s="12" t="s">
        <v>251</v>
      </c>
      <c r="B12" s="17" t="n">
        <f aca="false">COUNTIF('2_Mức tự động'!L5:L8,"Đạt")</f>
        <v>1</v>
      </c>
      <c r="C12" s="17" t="str">
        <f aca="false">IF(B12&gt;=1,"Đạt","Xem lại")</f>
        <v>Đạt</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252</v>
      </c>
    </row>
    <row r="2" customFormat="false" ht="15" hidden="false" customHeight="true" outlineLevel="0" collapsed="false">
      <c r="A2" s="3"/>
    </row>
    <row r="4" customFormat="false" ht="15" hidden="false" customHeight="true" outlineLevel="0" collapsed="false">
      <c r="A4" s="11" t="s">
        <v>253</v>
      </c>
      <c r="B4" s="11" t="s">
        <v>254</v>
      </c>
      <c r="C4" s="11" t="s">
        <v>255</v>
      </c>
      <c r="D4" s="11" t="s">
        <v>256</v>
      </c>
    </row>
    <row r="5" customFormat="false" ht="15" hidden="false" customHeight="true" outlineLevel="0" collapsed="false">
      <c r="A5" s="12" t="s">
        <v>257</v>
      </c>
      <c r="B5" s="1" t="n">
        <v>20</v>
      </c>
      <c r="C5" s="34" t="s">
        <v>258</v>
      </c>
      <c r="D5" s="35"/>
    </row>
    <row r="6" customFormat="false" ht="15" hidden="false" customHeight="true" outlineLevel="0" collapsed="false">
      <c r="A6" s="12" t="s">
        <v>259</v>
      </c>
      <c r="B6" s="1" t="n">
        <v>20</v>
      </c>
      <c r="C6" s="34" t="s">
        <v>260</v>
      </c>
      <c r="D6" s="35"/>
    </row>
    <row r="7" customFormat="false" ht="15" hidden="false" customHeight="true" outlineLevel="0" collapsed="false">
      <c r="A7" s="12" t="s">
        <v>261</v>
      </c>
      <c r="B7" s="1" t="n">
        <v>25</v>
      </c>
      <c r="C7" s="34" t="s">
        <v>262</v>
      </c>
      <c r="D7" s="35"/>
    </row>
    <row r="8" customFormat="false" ht="15" hidden="false" customHeight="true" outlineLevel="0" collapsed="false">
      <c r="A8" s="12" t="s">
        <v>263</v>
      </c>
      <c r="B8" s="1" t="n">
        <v>15</v>
      </c>
      <c r="C8" s="34" t="s">
        <v>264</v>
      </c>
      <c r="D8" s="35"/>
    </row>
    <row r="9" customFormat="false" ht="15" hidden="false" customHeight="true" outlineLevel="0" collapsed="false">
      <c r="A9" s="12" t="s">
        <v>265</v>
      </c>
      <c r="B9" s="1" t="n">
        <v>20</v>
      </c>
      <c r="C9" s="34" t="s">
        <v>266</v>
      </c>
      <c r="D9" s="35"/>
    </row>
    <row r="10" customFormat="false" ht="15" hidden="false" customHeight="true" outlineLevel="0" collapsed="false">
      <c r="A10" s="10" t="s">
        <v>267</v>
      </c>
      <c r="B10" s="1" t="n">
        <f aca="false">SUM(B5:B9)</f>
        <v>100</v>
      </c>
      <c r="D10" s="17" t="n">
        <f aca="false">SUM(D5:D9)</f>
        <v>0</v>
      </c>
    </row>
    <row r="12" customFormat="false" ht="15" hidden="false" customHeight="true" outlineLevel="0" collapsed="false">
      <c r="A12" s="10"/>
      <c r="D12" s="35"/>
    </row>
    <row r="15" customFormat="false" ht="15" hidden="false" customHeight="true" outlineLevel="0" collapsed="false">
      <c r="A15" s="36" t="s">
        <v>268</v>
      </c>
    </row>
    <row r="16" customFormat="false" ht="15" hidden="false" customHeight="true" outlineLevel="0" collapsed="false">
      <c r="A16" s="11" t="s">
        <v>253</v>
      </c>
      <c r="B16" s="11" t="s">
        <v>269</v>
      </c>
      <c r="C16" s="11" t="s">
        <v>270</v>
      </c>
      <c r="D16" s="11" t="s">
        <v>271</v>
      </c>
    </row>
    <row r="17" customFormat="false" ht="45.75" hidden="false" customHeight="true" outlineLevel="0" collapsed="false">
      <c r="A17" s="37" t="s">
        <v>272</v>
      </c>
      <c r="B17" s="38" t="s">
        <v>273</v>
      </c>
      <c r="C17" s="38" t="s">
        <v>274</v>
      </c>
      <c r="D17" s="38" t="s">
        <v>275</v>
      </c>
    </row>
    <row r="18" customFormat="false" ht="45.75" hidden="false" customHeight="true" outlineLevel="0" collapsed="false">
      <c r="A18" s="37" t="s">
        <v>276</v>
      </c>
      <c r="B18" s="38" t="s">
        <v>277</v>
      </c>
      <c r="C18" s="38" t="s">
        <v>278</v>
      </c>
      <c r="D18" s="38" t="s">
        <v>279</v>
      </c>
    </row>
    <row r="19" customFormat="false" ht="45.75" hidden="false" customHeight="true" outlineLevel="0" collapsed="false">
      <c r="A19" s="37" t="s">
        <v>280</v>
      </c>
      <c r="B19" s="38" t="s">
        <v>281</v>
      </c>
      <c r="C19" s="38" t="s">
        <v>282</v>
      </c>
      <c r="D19" s="38" t="s">
        <v>283</v>
      </c>
    </row>
    <row r="20" customFormat="false" ht="45.75" hidden="false" customHeight="true" outlineLevel="0" collapsed="false">
      <c r="A20" s="37" t="s">
        <v>284</v>
      </c>
      <c r="B20" s="38" t="s">
        <v>285</v>
      </c>
      <c r="C20" s="38" t="s">
        <v>286</v>
      </c>
      <c r="D20" s="38" t="s">
        <v>287</v>
      </c>
    </row>
    <row r="22" customFormat="false" ht="15" hidden="false" customHeight="true" outlineLevel="0" collapsed="false">
      <c r="A22" s="27" t="s">
        <v>288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